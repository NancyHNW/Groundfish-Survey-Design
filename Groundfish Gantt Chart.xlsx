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jessi\Downloads\"/>
    </mc:Choice>
  </mc:AlternateContent>
  <xr:revisionPtr revIDLastSave="0" documentId="13_ncr:1_{3DBEC986-5276-4DD3-8542-DC091169E209}" xr6:coauthVersionLast="47" xr6:coauthVersionMax="47" xr10:uidLastSave="{00000000-0000-0000-0000-000000000000}"/>
  <bookViews>
    <workbookView xWindow="-110" yWindow="-110" windowWidth="24220" windowHeight="16220" xr2:uid="{00000000-000D-0000-FFFF-FFFF00000000}"/>
  </bookViews>
  <sheets>
    <sheet name="Project schedule (Weekly)" sheetId="13" r:id="rId1"/>
    <sheet name="Project schedule" sheetId="11" r:id="rId2"/>
    <sheet name="About" sheetId="12" r:id="rId3"/>
  </sheets>
  <definedNames>
    <definedName name="Display_Week" localSheetId="0">'Project schedule (Weekly)'!$O$2</definedName>
    <definedName name="Display_Week">'Project schedule'!$P$2</definedName>
    <definedName name="_xlnm.Print_Titles" localSheetId="1">'Project schedule'!$4:$6</definedName>
    <definedName name="_xlnm.Print_Titles" localSheetId="0">'Project schedule (Weekly)'!$4:$6</definedName>
    <definedName name="Project_Start" localSheetId="0">'Project schedule (Weekly)'!$O$1</definedName>
    <definedName name="Project_Start">'Project schedule'!$P$1</definedName>
    <definedName name="task_end" localSheetId="1">'Project schedule'!$E1</definedName>
    <definedName name="task_end" localSheetId="0">'Project schedule (Weekly)'!$D1</definedName>
    <definedName name="task_progress" localSheetId="1">'Project schedule'!$C1</definedName>
    <definedName name="task_progress" localSheetId="0">'Project schedule (Weekly)'!#REF!</definedName>
    <definedName name="task_start" localSheetId="1">'Project schedule'!$D1</definedName>
    <definedName name="task_start" localSheetId="0">'Project schedule (Weekly)'!$C1</definedName>
    <definedName name="today" localSheetId="1">TODAY()</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13" l="1"/>
  <c r="F33" i="13"/>
  <c r="F32" i="13"/>
  <c r="F31" i="13"/>
  <c r="F30" i="13"/>
  <c r="F29" i="13"/>
  <c r="F28" i="13"/>
  <c r="F27" i="13"/>
  <c r="F26" i="13"/>
  <c r="F25" i="13"/>
  <c r="F24" i="13"/>
  <c r="F23" i="13"/>
  <c r="F22" i="13"/>
  <c r="F21" i="13"/>
  <c r="F20" i="13"/>
  <c r="F19" i="13"/>
  <c r="F18" i="13"/>
  <c r="F17" i="13"/>
  <c r="F16" i="13"/>
  <c r="F15" i="13"/>
  <c r="F14" i="13"/>
  <c r="F13" i="13"/>
  <c r="F12" i="13"/>
  <c r="F9" i="13"/>
  <c r="F7" i="13"/>
  <c r="E15" i="11"/>
  <c r="D15" i="11"/>
  <c r="E12" i="11"/>
  <c r="D12" i="11"/>
  <c r="D10" i="11"/>
  <c r="E10" i="11" s="1"/>
  <c r="D11" i="11"/>
  <c r="E11" i="11"/>
  <c r="P1" i="11"/>
  <c r="G7" i="11"/>
  <c r="F11" i="13" l="1"/>
  <c r="D9" i="11"/>
  <c r="F10" i="13" l="1"/>
  <c r="E9" i="11"/>
  <c r="H5" i="11"/>
  <c r="G33" i="11"/>
  <c r="G32" i="11"/>
  <c r="G26" i="11"/>
  <c r="G20" i="11"/>
  <c r="G14" i="11"/>
  <c r="G8" i="11"/>
  <c r="G21" i="11" l="1"/>
  <c r="G22" i="11"/>
  <c r="G9" i="11"/>
  <c r="H6" i="11"/>
  <c r="G31" i="11" l="1"/>
  <c r="G30" i="11"/>
  <c r="G27" i="11"/>
  <c r="G25" i="11"/>
  <c r="G10" i="11"/>
  <c r="G23" i="11"/>
  <c r="G15" i="11"/>
  <c r="G13" i="11"/>
  <c r="I5" i="11"/>
  <c r="J5" i="11" s="1"/>
  <c r="K5" i="11" s="1"/>
  <c r="L5" i="11" s="1"/>
  <c r="M5" i="11" s="1"/>
  <c r="N5" i="11" s="1"/>
  <c r="O5" i="11" s="1"/>
  <c r="H4" i="11"/>
  <c r="G28" i="11" l="1"/>
  <c r="G29" i="11"/>
  <c r="G24" i="11"/>
  <c r="G16" i="11"/>
  <c r="G11" i="11"/>
  <c r="G12" i="11"/>
  <c r="O4" i="11"/>
  <c r="P5" i="11"/>
  <c r="Q5" i="11" s="1"/>
  <c r="R5" i="11" s="1"/>
  <c r="S5" i="11" s="1"/>
  <c r="T5" i="11" s="1"/>
  <c r="U5" i="11" s="1"/>
  <c r="V5" i="11" s="1"/>
  <c r="I6" i="11"/>
  <c r="G19" i="11" l="1"/>
  <c r="G18" i="11"/>
  <c r="G17" i="11"/>
  <c r="V4" i="1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L5" i="11" s="1"/>
  <c r="BJ6" i="11"/>
  <c r="AE6" i="11"/>
  <c r="BL6" i="11" l="1"/>
  <c r="BM5" i="11"/>
  <c r="BL4" i="11"/>
  <c r="BK6" i="11"/>
  <c r="AF6" i="11"/>
  <c r="BN5" i="11" l="1"/>
  <c r="BM6" i="11"/>
  <c r="AG6" i="11"/>
  <c r="BO5" i="11" l="1"/>
  <c r="BN6" i="11"/>
  <c r="AH6" i="11"/>
  <c r="BP5" i="11" l="1"/>
  <c r="BO6" i="11"/>
  <c r="AI6" i="11"/>
  <c r="BQ5" i="11" l="1"/>
  <c r="BP6" i="11"/>
  <c r="AJ6" i="11"/>
  <c r="BQ6" i="11" l="1"/>
  <c r="BR5" i="11"/>
  <c r="AK6" i="11"/>
  <c r="BR6" i="11" l="1"/>
  <c r="BS5" i="11"/>
  <c r="AL6" i="11"/>
  <c r="BT5" i="11" l="1"/>
  <c r="BS6" i="11"/>
  <c r="BS4" i="11"/>
  <c r="AM6" i="11"/>
  <c r="BT6" i="11" l="1"/>
  <c r="BU5" i="11"/>
  <c r="AN6" i="11"/>
  <c r="BV5" i="11" l="1"/>
  <c r="BU6" i="11"/>
  <c r="AO6" i="11"/>
  <c r="BW5" i="11" l="1"/>
  <c r="BV6" i="11"/>
  <c r="AP6" i="11"/>
  <c r="BX5" i="11" l="1"/>
  <c r="BW6" i="11"/>
  <c r="AQ6" i="11"/>
  <c r="BX6" i="11" l="1"/>
  <c r="BY5" i="11"/>
  <c r="BY6" i="11" l="1"/>
  <c r="BZ5" i="11"/>
  <c r="BZ6" i="11" l="1"/>
  <c r="CA5" i="11"/>
  <c r="BZ4" i="11"/>
  <c r="CA6" i="11" l="1"/>
  <c r="CB5" i="11"/>
  <c r="CC5" i="11" l="1"/>
  <c r="CB6" i="11"/>
  <c r="CD5" i="11" l="1"/>
  <c r="CC6" i="11"/>
  <c r="CE5" i="11" l="1"/>
  <c r="CD6" i="11"/>
  <c r="CF5" i="11" l="1"/>
  <c r="CE6" i="11"/>
  <c r="CF6" i="11" l="1"/>
  <c r="CG5" i="11"/>
  <c r="CH5" i="11" l="1"/>
  <c r="CG6" i="11"/>
  <c r="CG4" i="11"/>
  <c r="CI5" i="11" l="1"/>
  <c r="CH6" i="11"/>
  <c r="CJ5" i="11" l="1"/>
  <c r="CI6" i="11"/>
  <c r="CK5" i="11" l="1"/>
  <c r="CJ6" i="11"/>
  <c r="CL5" i="11" l="1"/>
  <c r="CK6" i="11"/>
  <c r="CM5" i="11" l="1"/>
  <c r="CL6" i="11"/>
  <c r="CM6" i="11" l="1"/>
  <c r="CN5" i="11"/>
  <c r="CO5" i="11" l="1"/>
  <c r="CN6" i="11"/>
  <c r="CN4" i="11"/>
  <c r="CO6" i="11" l="1"/>
  <c r="CP5" i="11"/>
  <c r="CQ5" i="11" l="1"/>
  <c r="CP6" i="11"/>
  <c r="CR5" i="11" l="1"/>
  <c r="CQ6" i="11"/>
  <c r="CS5" i="11" l="1"/>
  <c r="CR6" i="11"/>
  <c r="CS6" i="11" l="1"/>
  <c r="CT5" i="11"/>
  <c r="CT6" i="11" l="1"/>
  <c r="CU5" i="11"/>
  <c r="CV5" i="11" l="1"/>
  <c r="CU6" i="11"/>
  <c r="CU4" i="11"/>
  <c r="CW5" i="11" l="1"/>
  <c r="CV6" i="11"/>
  <c r="CX5" i="11" l="1"/>
  <c r="CW6" i="11"/>
  <c r="CY5" i="11" l="1"/>
  <c r="CX6" i="11"/>
  <c r="CY6" i="11" l="1"/>
  <c r="CZ5" i="11"/>
  <c r="DA5" i="11" l="1"/>
  <c r="CZ6" i="11"/>
  <c r="DA6" i="11" l="1"/>
  <c r="DB5" i="11"/>
  <c r="DB6" i="11" l="1"/>
  <c r="DB4" i="11"/>
  <c r="DC5" i="11"/>
  <c r="DC6" i="11" l="1"/>
  <c r="DD5" i="11"/>
  <c r="DE5" i="11" l="1"/>
  <c r="DD6" i="11"/>
  <c r="DF5" i="11" l="1"/>
  <c r="DE6" i="11"/>
  <c r="DG5" i="11" l="1"/>
  <c r="DF6" i="11"/>
  <c r="DG6" i="11" l="1"/>
  <c r="DH5" i="11"/>
  <c r="DH6" i="11" l="1"/>
  <c r="DI5" i="11"/>
  <c r="DI4" i="11" l="1"/>
  <c r="DI6" i="11"/>
  <c r="DJ5" i="11"/>
  <c r="DJ6" i="11" l="1"/>
  <c r="DK5" i="11"/>
  <c r="DL5" i="11" l="1"/>
  <c r="DK6" i="11"/>
  <c r="DM5" i="11" l="1"/>
  <c r="DL6" i="11"/>
  <c r="DM6" i="11" l="1"/>
  <c r="DN5" i="11"/>
  <c r="DO5" i="11" l="1"/>
  <c r="DN6" i="11"/>
  <c r="DO6" i="11" l="1"/>
  <c r="DP5" i="11"/>
  <c r="DQ5" i="11" l="1"/>
  <c r="DP6" i="11"/>
  <c r="DP4" i="11"/>
  <c r="DQ6" i="11" l="1"/>
  <c r="DR5" i="11"/>
  <c r="DS5" i="11" l="1"/>
  <c r="DR6" i="11"/>
  <c r="DS6" i="11" l="1"/>
  <c r="DT5" i="11"/>
  <c r="DU5" i="11" l="1"/>
  <c r="DT6" i="11"/>
  <c r="DU6" i="11" l="1"/>
  <c r="DV5" i="11"/>
  <c r="DV6" i="11" l="1"/>
  <c r="DW5" i="11"/>
  <c r="DW4" i="11" l="1"/>
  <c r="DW6" i="11"/>
  <c r="DX5" i="11"/>
  <c r="DY5" i="11" l="1"/>
  <c r="DX6" i="11"/>
  <c r="DZ5" i="11" l="1"/>
  <c r="DY6" i="11"/>
  <c r="EA5" i="11" l="1"/>
  <c r="DZ6" i="11"/>
  <c r="EB5" i="11" l="1"/>
  <c r="EA6" i="11"/>
  <c r="EC5" i="11" l="1"/>
  <c r="EB6" i="11"/>
  <c r="EC6" i="11" l="1"/>
  <c r="ED5" i="11"/>
  <c r="EE5" i="11" l="1"/>
  <c r="ED6" i="11"/>
  <c r="ED4" i="11"/>
  <c r="EF5" i="11" l="1"/>
  <c r="EE6" i="11"/>
  <c r="EG5" i="11" l="1"/>
  <c r="EF6" i="11"/>
  <c r="EH5" i="11" l="1"/>
  <c r="EG6" i="11"/>
  <c r="EI5" i="11" l="1"/>
  <c r="EH6" i="11"/>
  <c r="EI6" i="11" l="1"/>
  <c r="EJ5" i="11"/>
  <c r="EJ6" i="11" l="1"/>
  <c r="EK5" i="11"/>
  <c r="EL5" i="11" l="1"/>
  <c r="EK4" i="11"/>
  <c r="EK6" i="11"/>
  <c r="EL6" i="11" l="1"/>
  <c r="EM5" i="11"/>
  <c r="EN5" i="11" l="1"/>
  <c r="EM6" i="11"/>
  <c r="EO5" i="11" l="1"/>
  <c r="EN6" i="11"/>
  <c r="EP5" i="11" l="1"/>
  <c r="EO6" i="11"/>
  <c r="EQ5" i="11" l="1"/>
  <c r="EP6" i="11"/>
  <c r="EQ6" i="11" l="1"/>
  <c r="ER5" i="11"/>
  <c r="ES5" i="11" l="1"/>
  <c r="ER6" i="11"/>
  <c r="ER4" i="11"/>
  <c r="ES6" i="11" l="1"/>
  <c r="ET5" i="11"/>
  <c r="EU5" i="11" l="1"/>
  <c r="ET6" i="11"/>
  <c r="EV5" i="11" l="1"/>
  <c r="EU6" i="11"/>
  <c r="EW5" i="11" l="1"/>
  <c r="EV6" i="11"/>
  <c r="EW6" i="11" l="1"/>
  <c r="EX5" i="11"/>
  <c r="EX6" i="11" l="1"/>
  <c r="EY5" i="11"/>
  <c r="EZ5" i="11" l="1"/>
  <c r="EY6" i="11"/>
  <c r="EY4" i="11"/>
  <c r="FA5" i="11" l="1"/>
  <c r="EZ6" i="11"/>
  <c r="FB5" i="11" l="1"/>
  <c r="FA6" i="11"/>
  <c r="FC5" i="11" l="1"/>
  <c r="FB6" i="11"/>
  <c r="FD5" i="11" l="1"/>
  <c r="FC6" i="11"/>
  <c r="FD6" i="11" l="1"/>
  <c r="FE5" i="11"/>
  <c r="FE6" i="11" l="1"/>
  <c r="FF5" i="11"/>
  <c r="FG5" i="11" l="1"/>
  <c r="FF6" i="11"/>
  <c r="FF4" i="11"/>
  <c r="FH5" i="11" l="1"/>
  <c r="FG6" i="11"/>
  <c r="FI5" i="11" l="1"/>
  <c r="FH6" i="11"/>
  <c r="FJ5" i="11" l="1"/>
  <c r="FI6" i="11"/>
  <c r="FK5" i="11" l="1"/>
  <c r="FJ6" i="11"/>
  <c r="FK6" i="11" l="1"/>
  <c r="FL5" i="11"/>
  <c r="FL6" i="11" l="1"/>
  <c r="FM5" i="11"/>
  <c r="FM6" i="11" l="1"/>
  <c r="FM4" i="11"/>
  <c r="FN5" i="11"/>
  <c r="FO5" i="11" l="1"/>
  <c r="FN6" i="11"/>
  <c r="FP5" i="11" l="1"/>
  <c r="FO6" i="11"/>
  <c r="FQ5" i="11" l="1"/>
  <c r="FP6" i="11"/>
  <c r="FQ6" i="11" l="1"/>
  <c r="FR5" i="11"/>
  <c r="FS5" i="11" l="1"/>
  <c r="FR6" i="11"/>
  <c r="FS6" i="11" l="1"/>
  <c r="FT5" i="11"/>
  <c r="FU5" i="11" l="1"/>
  <c r="FT4" i="11"/>
  <c r="FT6" i="11"/>
  <c r="FV5" i="11" l="1"/>
  <c r="FU6" i="11"/>
  <c r="FW5" i="11" l="1"/>
  <c r="FV6" i="11"/>
  <c r="FX5" i="11" l="1"/>
  <c r="FW6" i="11"/>
  <c r="FY5" i="11" l="1"/>
  <c r="FX6" i="11"/>
  <c r="FY6" i="11" l="1"/>
  <c r="FZ5" i="11"/>
  <c r="FZ6" i="11" l="1"/>
  <c r="GA5" i="11"/>
  <c r="GB5" i="11" l="1"/>
  <c r="GA4" i="11"/>
  <c r="GA6" i="11"/>
  <c r="GC5" i="11" l="1"/>
  <c r="GB6" i="11"/>
  <c r="GD5" i="11" l="1"/>
  <c r="GC6" i="11"/>
  <c r="GE5" i="11" l="1"/>
  <c r="GD6" i="11"/>
  <c r="GF5" i="11" l="1"/>
  <c r="GE6" i="11"/>
  <c r="GG5" i="11" l="1"/>
  <c r="GF6" i="11"/>
  <c r="GG6" i="11" l="1"/>
  <c r="GH5" i="11"/>
  <c r="GI5" i="11" l="1"/>
  <c r="GH6" i="11"/>
  <c r="GH4" i="11"/>
  <c r="GJ5" i="11" l="1"/>
  <c r="GI6" i="11"/>
  <c r="GK5" i="11" l="1"/>
  <c r="GJ6" i="11"/>
  <c r="GL5" i="11" l="1"/>
  <c r="GK6" i="11"/>
  <c r="GM5" i="11" l="1"/>
  <c r="GL6" i="11"/>
  <c r="GM6" i="11" l="1"/>
  <c r="GN5" i="11"/>
  <c r="GN6" i="11" l="1"/>
  <c r="GO5" i="11"/>
  <c r="GP5" i="11" l="1"/>
  <c r="GO6" i="11"/>
  <c r="GO4" i="11"/>
  <c r="GQ5" i="11" l="1"/>
  <c r="GP6" i="11"/>
  <c r="GQ6" i="11" l="1"/>
  <c r="GR5" i="11"/>
  <c r="GR6" i="11" l="1"/>
  <c r="GS5" i="11"/>
  <c r="GT5" i="11" l="1"/>
  <c r="GS6" i="11"/>
  <c r="GU5" i="11" l="1"/>
  <c r="GT6" i="11"/>
  <c r="GU6" i="11" l="1"/>
  <c r="GV5" i="11"/>
  <c r="GV6" i="11" l="1"/>
  <c r="GW5" i="11"/>
  <c r="GV4" i="11"/>
  <c r="GW6" i="11" l="1"/>
  <c r="GX5" i="11"/>
  <c r="GY5" i="11" l="1"/>
  <c r="GX6" i="11"/>
  <c r="GZ5" i="11" l="1"/>
  <c r="GY6" i="11"/>
  <c r="HA5" i="11" l="1"/>
  <c r="GZ6" i="11"/>
  <c r="HA6" i="11" l="1"/>
  <c r="HB5" i="11"/>
  <c r="HB6" i="11" l="1"/>
  <c r="HC5" i="11"/>
  <c r="HD5" i="11" l="1"/>
  <c r="HC6" i="11"/>
  <c r="HC4" i="11"/>
  <c r="HE5" i="11" l="1"/>
  <c r="HD6" i="11"/>
  <c r="HF5" i="11" l="1"/>
  <c r="HE6" i="11"/>
  <c r="HG5" i="11" l="1"/>
  <c r="HF6" i="11"/>
  <c r="HH5" i="11" l="1"/>
  <c r="HG6" i="11"/>
  <c r="HH6" i="11" l="1"/>
  <c r="HI5" i="11"/>
  <c r="HI6" i="11" l="1"/>
  <c r="HJ5" i="11"/>
  <c r="HK5" i="11" l="1"/>
  <c r="HJ6" i="11"/>
  <c r="HJ4" i="11"/>
  <c r="HL5" i="11" l="1"/>
  <c r="HK6" i="11"/>
  <c r="HM5" i="11" l="1"/>
  <c r="HL6" i="11"/>
  <c r="HN5" i="11" l="1"/>
  <c r="HM6" i="11"/>
  <c r="HO5" i="11" l="1"/>
  <c r="HN6" i="11"/>
  <c r="HO6" i="11" l="1"/>
  <c r="HP5" i="11"/>
  <c r="HP6" i="11" l="1"/>
  <c r="HQ5" i="11"/>
  <c r="HQ6" i="11" l="1"/>
  <c r="HR5" i="11"/>
  <c r="HQ4" i="11"/>
  <c r="HR6" i="11" l="1"/>
  <c r="HS5" i="11"/>
  <c r="HS6" i="11" l="1"/>
  <c r="HT5" i="11"/>
  <c r="HU5" i="11" l="1"/>
  <c r="HT6" i="11"/>
  <c r="HU6" i="11" l="1"/>
  <c r="HV5" i="11"/>
  <c r="HV6" i="11" l="1"/>
  <c r="HW5" i="11"/>
  <c r="HW6" i="11" l="1"/>
  <c r="HX5" i="11"/>
  <c r="HY5" i="11" l="1"/>
  <c r="HX4" i="11"/>
  <c r="HX6" i="11"/>
  <c r="HZ5" i="11" l="1"/>
  <c r="HY6" i="11"/>
  <c r="IA5" i="11" l="1"/>
  <c r="HZ6" i="11"/>
  <c r="IB5" i="11" l="1"/>
  <c r="IA6" i="11"/>
  <c r="IC5" i="11" l="1"/>
  <c r="IB6" i="11"/>
  <c r="ID5" i="11" l="1"/>
  <c r="IC6" i="11"/>
  <c r="ID6" i="11" l="1"/>
  <c r="IE5" i="11"/>
  <c r="IF5" i="11" l="1"/>
  <c r="IE4" i="11"/>
  <c r="IE6" i="11"/>
  <c r="IG5" i="11" l="1"/>
  <c r="IF6" i="11"/>
  <c r="IH5" i="11" l="1"/>
  <c r="IG6" i="11"/>
  <c r="II5" i="11" l="1"/>
  <c r="IH6" i="11"/>
  <c r="IJ5" i="11" l="1"/>
  <c r="II6" i="11"/>
  <c r="IJ6" i="11" l="1"/>
  <c r="IK5" i="11"/>
  <c r="IK6" i="11" l="1"/>
  <c r="IL5" i="11"/>
  <c r="IM5" i="11" l="1"/>
  <c r="IL6" i="11"/>
  <c r="IL4" i="11"/>
  <c r="IM6" i="11" l="1"/>
  <c r="IN5" i="11"/>
  <c r="IO5" i="11" l="1"/>
  <c r="IN6" i="11"/>
  <c r="IP5" i="11" l="1"/>
  <c r="IO6" i="11"/>
  <c r="IQ5" i="11" l="1"/>
  <c r="IP6" i="11"/>
  <c r="IQ6" i="11" l="1"/>
  <c r="IR5" i="11"/>
  <c r="IR6" i="11" l="1"/>
  <c r="IS5" i="11"/>
  <c r="IS6" i="11" l="1"/>
  <c r="IT5" i="11"/>
  <c r="IS4" i="11"/>
  <c r="IU5" i="11" l="1"/>
  <c r="IT6" i="11"/>
  <c r="IV5" i="11" l="1"/>
  <c r="IU6" i="11"/>
  <c r="IW5" i="11" l="1"/>
  <c r="IV6" i="11"/>
  <c r="IW6" i="11" l="1"/>
  <c r="IX5" i="11"/>
  <c r="IX6" i="11" l="1"/>
  <c r="IY5" i="11"/>
  <c r="IY6" i="11" l="1"/>
  <c r="IZ5" i="11"/>
  <c r="IZ4" i="11" l="1"/>
  <c r="IZ6" i="11"/>
  <c r="JA5" i="11"/>
  <c r="JB5" i="11" l="1"/>
  <c r="JA6" i="11"/>
  <c r="JC5" i="11" l="1"/>
  <c r="JB6" i="11"/>
  <c r="JD5" i="11" l="1"/>
  <c r="JC6" i="11"/>
  <c r="JE5" i="11" l="1"/>
  <c r="JD6" i="11"/>
  <c r="JE6" i="11" l="1"/>
  <c r="JF5" i="11"/>
  <c r="JF6" i="11" l="1"/>
  <c r="JG5" i="11"/>
  <c r="JG6" i="11" l="1"/>
  <c r="JH5" i="11"/>
  <c r="JG4" i="11"/>
  <c r="JH6" i="11" l="1"/>
  <c r="JI5" i="11"/>
  <c r="JI6" i="11" l="1"/>
  <c r="JJ5" i="11"/>
  <c r="JK5" i="11" l="1"/>
  <c r="JJ6" i="11"/>
  <c r="JL5" i="11" l="1"/>
  <c r="JK6" i="11"/>
  <c r="JL6" i="11" l="1"/>
  <c r="JM5" i="11"/>
  <c r="JM6" i="11" s="1"/>
</calcChain>
</file>

<file path=xl/sharedStrings.xml><?xml version="1.0" encoding="utf-8"?>
<sst xmlns="http://schemas.openxmlformats.org/spreadsheetml/2006/main" count="141" uniqueCount="70">
  <si>
    <t>Project start:</t>
  </si>
  <si>
    <t>Display week:</t>
  </si>
  <si>
    <t>SIMPLE GANTT CHART by Vertex42.com</t>
  </si>
  <si>
    <t>TASK</t>
  </si>
  <si>
    <t>PROGRESS</t>
  </si>
  <si>
    <t>START</t>
  </si>
  <si>
    <t>END</t>
  </si>
  <si>
    <t xml:space="preserve">Do not delete this row. This row is hidden to preserve a formula that is used to highlight the current day within the project schedule. </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</si>
  <si>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</si>
  <si>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</si>
  <si>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</si>
  <si>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</si>
  <si>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</si>
  <si>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</si>
  <si>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</si>
  <si>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</si>
  <si>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</si>
  <si>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</si>
  <si>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</si>
  <si>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</si>
  <si>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</si>
  <si>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</si>
  <si>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Groundfish Survey Design</t>
  </si>
  <si>
    <t>Project #33</t>
  </si>
  <si>
    <t>Preliminary Organisation</t>
  </si>
  <si>
    <t>Set up repository</t>
  </si>
  <si>
    <t>Read previous reports</t>
  </si>
  <si>
    <t>Planning</t>
  </si>
  <si>
    <t>Gantt Chatt</t>
  </si>
  <si>
    <t>Deefine Scope</t>
  </si>
  <si>
    <t>Literature Review</t>
  </si>
  <si>
    <t>Identify objectives</t>
  </si>
  <si>
    <t xml:space="preserve">Initiation/Preliminary </t>
  </si>
  <si>
    <t>Sem 1 Tasks</t>
  </si>
  <si>
    <t>Standardise existing work</t>
  </si>
  <si>
    <t>Sem 2 Tasks</t>
  </si>
  <si>
    <t>New Heuristic</t>
  </si>
  <si>
    <t>Final Testing</t>
  </si>
  <si>
    <t>Create stochastic tests</t>
  </si>
  <si>
    <t>Test existing algorithms on stochastic tests</t>
  </si>
  <si>
    <t>Comparision of heuristics</t>
  </si>
  <si>
    <t>Validation</t>
  </si>
  <si>
    <t>Get Code Running</t>
  </si>
  <si>
    <t>New Heuristic (or improve visualisation) or Hybrid</t>
  </si>
  <si>
    <t>Week 1</t>
  </si>
  <si>
    <t>Week 2</t>
  </si>
  <si>
    <t>Week 3</t>
  </si>
  <si>
    <t>Week 4</t>
  </si>
  <si>
    <t>Week 5</t>
  </si>
  <si>
    <t>Week 6</t>
  </si>
  <si>
    <t>Week 7</t>
  </si>
  <si>
    <t>Week 8</t>
  </si>
  <si>
    <t>Week 9</t>
  </si>
  <si>
    <t>Week 10</t>
  </si>
  <si>
    <t>Week 11</t>
  </si>
  <si>
    <t>Week 12</t>
  </si>
  <si>
    <t>Nancy Wei &amp; Jessica Zeng</t>
  </si>
  <si>
    <t>Sem Break Week 1</t>
  </si>
  <si>
    <t>Sem Break Week 2</t>
  </si>
  <si>
    <t>Intersem Break Week 1</t>
  </si>
  <si>
    <t>Intersem Break Week 2</t>
  </si>
  <si>
    <t>Intersem Break Week 3</t>
  </si>
  <si>
    <t>Define Scope</t>
  </si>
  <si>
    <t>Mid Year Report</t>
  </si>
  <si>
    <t>Display</t>
  </si>
  <si>
    <t>Final Report + Poster</t>
  </si>
  <si>
    <t>Deadlines</t>
  </si>
  <si>
    <t>Literature Review + Scope</t>
  </si>
  <si>
    <t>Week 2 (2)</t>
  </si>
  <si>
    <t xml:space="preserve">Week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</si>
</sst>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8"/>
      <name val="Arial"/>
      <family val="2"/>
      <scheme val="minor"/>
    </font>
    <font>
      <b/>
      <sz val="11"/>
      <color rgb="FFFF0000"/>
      <name val="Arial"/>
      <family val="2"/>
      <scheme val="minor"/>
    </font>
    <font>
      <sz val="10"/>
      <color rgb="FFFF0000"/>
      <name val="Arial"/>
      <family val="2"/>
      <scheme val="minor"/>
    </font>
    <font>
      <b/>
      <sz val="10"/>
      <color rgb="FFFF0000"/>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7">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style="thin">
        <color theme="1" tint="0.499984740745262"/>
      </right>
      <top/>
      <bottom/>
      <diagonal/>
    </border>
    <border>
      <left style="thin">
        <color theme="1" tint="0.499984740745262"/>
      </left>
      <right/>
      <top/>
      <bottom/>
      <diagonal/>
    </border>
    <border>
      <left style="thin">
        <color theme="1" tint="0.499984740745262"/>
      </left>
      <right/>
      <top/>
      <bottom style="thin">
        <color indexed="64"/>
      </bottom>
      <diagonal/>
    </border>
    <border>
      <left/>
      <right/>
      <top/>
      <bottom style="thin">
        <color indexed="64"/>
      </bottom>
      <diagonal/>
    </border>
    <border>
      <left/>
      <right style="thin">
        <color theme="1" tint="0.499984740745262"/>
      </right>
      <top/>
      <bottom style="thin">
        <color indexed="64"/>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3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11" fillId="0" borderId="0" xfId="0" applyFont="1" applyAlignment="1">
      <alignment horizontal="center"/>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15"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8" fillId="12" borderId="20" xfId="0" applyNumberFormat="1" applyFont="1" applyFill="1" applyBorder="1" applyAlignment="1">
      <alignment horizontal="center" vertical="center"/>
    </xf>
    <xf numFmtId="167" fontId="18" fillId="12" borderId="18" xfId="0" applyNumberFormat="1" applyFont="1" applyFill="1" applyBorder="1" applyAlignment="1">
      <alignment horizontal="center" vertical="center"/>
    </xf>
    <xf numFmtId="167" fontId="18" fillId="12" borderId="19" xfId="0" applyNumberFormat="1" applyFont="1" applyFill="1" applyBorder="1" applyAlignment="1">
      <alignment horizontal="center" vertical="center"/>
    </xf>
    <xf numFmtId="0" fontId="19" fillId="2" borderId="17" xfId="0" applyFont="1" applyFill="1" applyBorder="1" applyAlignment="1">
      <alignment horizontal="center" vertical="center" shrinkToFit="1"/>
    </xf>
    <xf numFmtId="0" fontId="19" fillId="2" borderId="14" xfId="0" applyFont="1" applyFill="1" applyBorder="1" applyAlignment="1">
      <alignment horizontal="center" vertical="center" shrinkToFit="1"/>
    </xf>
    <xf numFmtId="0" fontId="19" fillId="2" borderId="15" xfId="0" applyFont="1" applyFill="1" applyBorder="1" applyAlignment="1">
      <alignment horizontal="center" vertical="center" shrinkToFit="1"/>
    </xf>
    <xf numFmtId="0" fontId="16" fillId="0" borderId="0" xfId="0" applyFont="1"/>
    <xf numFmtId="0" fontId="4" fillId="0" borderId="3" xfId="0" applyFont="1" applyBorder="1" applyAlignment="1">
      <alignment vertical="center"/>
    </xf>
    <xf numFmtId="0" fontId="20" fillId="6" borderId="0" xfId="0" applyFont="1" applyFill="1" applyAlignment="1">
      <alignment horizontal="left" vertical="center" indent="1"/>
    </xf>
    <xf numFmtId="9" fontId="1" fillId="6" borderId="0" xfId="2" applyFont="1" applyFill="1" applyBorder="1" applyAlignment="1">
      <alignment horizontal="center" vertical="center"/>
    </xf>
    <xf numFmtId="164" fontId="16"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6" fillId="3" borderId="6" xfId="12" applyFont="1" applyFill="1" applyBorder="1">
      <alignment horizontal="left" vertical="center" indent="2"/>
    </xf>
    <xf numFmtId="9" fontId="1" fillId="3" borderId="6" xfId="2" applyFont="1" applyFill="1" applyBorder="1" applyAlignment="1">
      <alignment horizontal="center" vertical="center"/>
    </xf>
    <xf numFmtId="164" fontId="16" fillId="3" borderId="6" xfId="10" applyFont="1" applyFill="1" applyBorder="1">
      <alignment horizontal="center" vertical="center"/>
    </xf>
    <xf numFmtId="0" fontId="4" fillId="0" borderId="4" xfId="0" applyFont="1" applyBorder="1" applyAlignment="1">
      <alignment vertical="center"/>
    </xf>
    <xf numFmtId="0" fontId="16" fillId="3" borderId="7" xfId="12" applyFont="1" applyFill="1" applyBorder="1">
      <alignment horizontal="left" vertical="center" indent="2"/>
    </xf>
    <xf numFmtId="9" fontId="1" fillId="3" borderId="7" xfId="2" applyFont="1" applyFill="1" applyBorder="1" applyAlignment="1">
      <alignment horizontal="center" vertical="center"/>
    </xf>
    <xf numFmtId="164" fontId="16" fillId="3" borderId="7" xfId="10" applyFont="1" applyFill="1" applyBorder="1">
      <alignment horizontal="center" vertical="center"/>
    </xf>
    <xf numFmtId="0" fontId="4" fillId="0" borderId="4" xfId="0" applyFont="1" applyBorder="1" applyAlignment="1">
      <alignment horizontal="right" vertical="center"/>
    </xf>
    <xf numFmtId="0" fontId="20" fillId="7" borderId="0" xfId="0" applyFont="1" applyFill="1" applyAlignment="1">
      <alignment horizontal="left" vertical="center" indent="1"/>
    </xf>
    <xf numFmtId="9" fontId="1" fillId="7" borderId="0" xfId="2" applyFont="1" applyFill="1" applyBorder="1" applyAlignment="1">
      <alignment horizontal="center" vertical="center"/>
    </xf>
    <xf numFmtId="164" fontId="16"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6" fillId="4" borderId="5" xfId="12" applyFont="1" applyFill="1" applyBorder="1">
      <alignment horizontal="left" vertical="center" indent="2"/>
    </xf>
    <xf numFmtId="9" fontId="1" fillId="4" borderId="5" xfId="2" applyFont="1" applyFill="1" applyBorder="1" applyAlignment="1">
      <alignment horizontal="center" vertical="center"/>
    </xf>
    <xf numFmtId="164" fontId="16" fillId="4" borderId="5" xfId="10" applyFont="1" applyFill="1" applyBorder="1">
      <alignment horizontal="center" vertical="center"/>
    </xf>
    <xf numFmtId="0" fontId="20" fillId="8" borderId="0" xfId="0" applyFont="1" applyFill="1" applyAlignment="1">
      <alignment horizontal="left" vertical="center" indent="1"/>
    </xf>
    <xf numFmtId="9" fontId="1" fillId="8" borderId="0" xfId="2" applyFont="1" applyFill="1" applyBorder="1" applyAlignment="1">
      <alignment horizontal="center" vertical="center"/>
    </xf>
    <xf numFmtId="164" fontId="16"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6" fillId="5" borderId="8" xfId="12" applyFont="1" applyFill="1" applyBorder="1">
      <alignment horizontal="left" vertical="center" indent="2"/>
    </xf>
    <xf numFmtId="9" fontId="1" fillId="5" borderId="8" xfId="2" applyFont="1" applyFill="1" applyBorder="1" applyAlignment="1">
      <alignment horizontal="center" vertical="center"/>
    </xf>
    <xf numFmtId="164" fontId="16" fillId="5" borderId="8" xfId="10" applyFont="1" applyFill="1" applyBorder="1">
      <alignment horizontal="center" vertical="center"/>
    </xf>
    <xf numFmtId="0" fontId="20" fillId="9" borderId="0" xfId="0" applyFont="1" applyFill="1" applyAlignment="1">
      <alignment horizontal="left" vertical="center" indent="1"/>
    </xf>
    <xf numFmtId="9" fontId="1" fillId="9" borderId="0" xfId="2" applyFont="1" applyFill="1" applyBorder="1" applyAlignment="1">
      <alignment horizontal="center" vertical="center"/>
    </xf>
    <xf numFmtId="164" fontId="16"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6" fillId="10" borderId="9" xfId="12" applyFont="1" applyFill="1" applyBorder="1">
      <alignment horizontal="left" vertical="center" indent="2"/>
    </xf>
    <xf numFmtId="9" fontId="1" fillId="10" borderId="9" xfId="2" applyFont="1" applyFill="1" applyBorder="1" applyAlignment="1">
      <alignment horizontal="center" vertical="center"/>
    </xf>
    <xf numFmtId="164" fontId="16" fillId="10" borderId="9" xfId="10" applyFont="1" applyFill="1" applyBorder="1">
      <alignment horizontal="center" vertical="center"/>
    </xf>
    <xf numFmtId="0" fontId="16" fillId="0" borderId="0" xfId="12" applyFont="1" applyBorder="1">
      <alignment horizontal="left" vertical="center" indent="2"/>
    </xf>
    <xf numFmtId="9" fontId="1" fillId="0" borderId="0" xfId="2" applyFont="1" applyBorder="1" applyAlignment="1">
      <alignment horizontal="center" vertical="center"/>
    </xf>
    <xf numFmtId="164" fontId="16" fillId="0" borderId="0" xfId="10" applyFont="1" applyBorder="1">
      <alignment horizontal="center" vertical="center"/>
    </xf>
    <xf numFmtId="0" fontId="21" fillId="2" borderId="0" xfId="0" applyFont="1" applyFill="1" applyAlignment="1">
      <alignment horizontal="left" vertical="center" indent="1"/>
    </xf>
    <xf numFmtId="9" fontId="1" fillId="2" borderId="0" xfId="2" applyFont="1" applyFill="1" applyBorder="1" applyAlignment="1">
      <alignment horizontal="center" vertical="center"/>
    </xf>
    <xf numFmtId="164" fontId="22"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3" fillId="0" borderId="0" xfId="6" applyFont="1" applyAlignment="1">
      <alignment horizontal="left" vertical="center" indent="1"/>
    </xf>
    <xf numFmtId="0" fontId="26"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3" fillId="0" borderId="0" xfId="0" applyFont="1" applyAlignment="1">
      <alignment horizontal="left" vertical="center" indent="1"/>
    </xf>
    <xf numFmtId="0" fontId="27" fillId="0" borderId="0" xfId="0" applyFont="1" applyAlignment="1">
      <alignment horizontal="left" vertical="top" wrapText="1" indent="1"/>
    </xf>
    <xf numFmtId="0" fontId="0" fillId="0" borderId="0" xfId="0" applyAlignment="1">
      <alignment horizontal="left" vertical="top" wrapText="1" indent="1"/>
    </xf>
    <xf numFmtId="0" fontId="28" fillId="0" borderId="0" xfId="1" applyFont="1" applyAlignment="1" applyProtection="1">
      <alignment horizontal="left" vertical="top" indent="1"/>
    </xf>
    <xf numFmtId="0" fontId="1" fillId="0" borderId="0" xfId="0" applyFont="1" applyAlignment="1">
      <alignment horizontal="left" vertical="top" indent="1"/>
    </xf>
    <xf numFmtId="0" fontId="4" fillId="2" borderId="3" xfId="0" applyFont="1" applyFill="1" applyBorder="1" applyAlignment="1">
      <alignment vertical="center"/>
    </xf>
    <xf numFmtId="0" fontId="4" fillId="2" borderId="12" xfId="0" applyFont="1" applyFill="1" applyBorder="1" applyAlignment="1">
      <alignment vertical="center"/>
    </xf>
    <xf numFmtId="0" fontId="4" fillId="2" borderId="4" xfId="0" applyFont="1" applyFill="1" applyBorder="1" applyAlignment="1">
      <alignment vertical="center"/>
    </xf>
    <xf numFmtId="0" fontId="4" fillId="2" borderId="11" xfId="0" applyFont="1" applyFill="1" applyBorder="1" applyAlignment="1">
      <alignment vertical="center"/>
    </xf>
    <xf numFmtId="0" fontId="4" fillId="2" borderId="10" xfId="0" applyFont="1" applyFill="1" applyBorder="1" applyAlignment="1">
      <alignment vertical="center"/>
    </xf>
    <xf numFmtId="0" fontId="0" fillId="2" borderId="0" xfId="0" applyFill="1"/>
    <xf numFmtId="0" fontId="4" fillId="2" borderId="4" xfId="0" applyFont="1" applyFill="1" applyBorder="1" applyAlignment="1">
      <alignment horizontal="right" vertical="center"/>
    </xf>
    <xf numFmtId="0" fontId="23" fillId="0" borderId="0" xfId="8" applyFont="1" applyAlignment="1"/>
    <xf numFmtId="0" fontId="4" fillId="3" borderId="4" xfId="0" applyFont="1" applyFill="1" applyBorder="1" applyAlignment="1">
      <alignment vertical="center"/>
    </xf>
    <xf numFmtId="0" fontId="4" fillId="3" borderId="0" xfId="0" applyFont="1" applyFill="1" applyAlignment="1">
      <alignment vertical="center"/>
    </xf>
    <xf numFmtId="0" fontId="4" fillId="4" borderId="4" xfId="0" applyFont="1" applyFill="1" applyBorder="1" applyAlignment="1">
      <alignment vertical="center"/>
    </xf>
    <xf numFmtId="0" fontId="4" fillId="5" borderId="4" xfId="0" applyFont="1" applyFill="1" applyBorder="1" applyAlignment="1">
      <alignment vertical="center"/>
    </xf>
    <xf numFmtId="166" fontId="16" fillId="2" borderId="16" xfId="0" applyNumberFormat="1" applyFont="1" applyFill="1" applyBorder="1" applyAlignment="1">
      <alignment horizontal="center" vertical="center" wrapText="1"/>
    </xf>
    <xf numFmtId="166" fontId="16" fillId="2" borderId="0" xfId="0" applyNumberFormat="1" applyFont="1" applyFill="1" applyAlignment="1">
      <alignment horizontal="center" vertical="center" wrapText="1"/>
    </xf>
    <xf numFmtId="166" fontId="16" fillId="2" borderId="17" xfId="0" applyNumberFormat="1" applyFont="1" applyFill="1" applyBorder="1" applyAlignment="1">
      <alignment horizontal="center" vertical="center" wrapText="1"/>
    </xf>
    <xf numFmtId="166" fontId="16" fillId="2" borderId="22" xfId="0" applyNumberFormat="1" applyFont="1" applyFill="1" applyBorder="1" applyAlignment="1">
      <alignment horizontal="center" vertical="center" wrapText="1"/>
    </xf>
    <xf numFmtId="166" fontId="16" fillId="2" borderId="15" xfId="0" applyNumberFormat="1" applyFont="1" applyFill="1" applyBorder="1" applyAlignment="1">
      <alignment horizontal="center" vertical="center" wrapText="1"/>
    </xf>
    <xf numFmtId="166" fontId="16" fillId="2" borderId="23" xfId="0" applyNumberFormat="1" applyFont="1" applyFill="1" applyBorder="1" applyAlignment="1">
      <alignment horizontal="center" vertical="center" wrapText="1"/>
    </xf>
    <xf numFmtId="166" fontId="16" fillId="2" borderId="25" xfId="0" applyNumberFormat="1" applyFont="1" applyFill="1" applyBorder="1" applyAlignment="1">
      <alignment horizontal="center" vertical="center" wrapText="1"/>
    </xf>
    <xf numFmtId="0" fontId="17" fillId="11" borderId="16" xfId="0" applyFont="1" applyFill="1" applyBorder="1" applyAlignment="1">
      <alignment horizontal="center" vertical="center"/>
    </xf>
    <xf numFmtId="0" fontId="4" fillId="2" borderId="21" xfId="0" applyFont="1" applyFill="1" applyBorder="1"/>
    <xf numFmtId="166" fontId="16" fillId="2" borderId="24" xfId="0" applyNumberFormat="1" applyFont="1" applyFill="1" applyBorder="1" applyAlignment="1">
      <alignment horizontal="center" vertical="center" wrapText="1"/>
    </xf>
    <xf numFmtId="166" fontId="16" fillId="2" borderId="26" xfId="0" applyNumberFormat="1" applyFont="1" applyFill="1" applyBorder="1" applyAlignment="1">
      <alignment horizontal="center" vertical="center" wrapText="1"/>
    </xf>
    <xf numFmtId="0" fontId="11" fillId="0" borderId="0" xfId="3" applyAlignment="1">
      <alignment wrapText="1"/>
    </xf>
    <xf numFmtId="0" fontId="17" fillId="11" borderId="16" xfId="0" applyFont="1" applyFill="1" applyBorder="1" applyAlignment="1">
      <alignment horizontal="left" vertical="center" indent="1"/>
    </xf>
    <xf numFmtId="0" fontId="4" fillId="2" borderId="21" xfId="0" applyFont="1" applyFill="1" applyBorder="1" applyAlignment="1">
      <alignment horizontal="left" indent="1"/>
    </xf>
    <xf numFmtId="165" fontId="24" fillId="0" borderId="0" xfId="9" applyFont="1" applyBorder="1" applyAlignment="1">
      <alignment horizontal="left"/>
    </xf>
    <xf numFmtId="0" fontId="25" fillId="0" borderId="0" xfId="0" applyFont="1"/>
    <xf numFmtId="0" fontId="23" fillId="0" borderId="0" xfId="8" applyFont="1" applyAlignment="1">
      <alignment horizontal="left"/>
    </xf>
    <xf numFmtId="0" fontId="4" fillId="0" borderId="0" xfId="0" applyFont="1"/>
    <xf numFmtId="0" fontId="24" fillId="0" borderId="0" xfId="0" applyFont="1" applyAlignment="1">
      <alignment horizontal="left"/>
    </xf>
    <xf numFmtId="166" fontId="16" fillId="2" borderId="13" xfId="0" applyNumberFormat="1" applyFont="1" applyFill="1" applyBorder="1" applyAlignment="1">
      <alignment horizontal="center" vertical="center" wrapText="1"/>
    </xf>
    <xf numFmtId="166" fontId="16" fillId="2" borderId="19" xfId="0" applyNumberFormat="1" applyFont="1" applyFill="1" applyBorder="1" applyAlignment="1">
      <alignment horizontal="center" vertical="center" wrapText="1"/>
    </xf>
    <xf numFmtId="166" fontId="16" fillId="2" borderId="18" xfId="0" applyNumberFormat="1" applyFont="1" applyFill="1" applyBorder="1" applyAlignment="1">
      <alignment horizontal="center" vertical="center" wrapText="1"/>
    </xf>
    <xf numFmtId="166" fontId="16" fillId="2" borderId="20" xfId="0" applyNumberFormat="1" applyFont="1" applyFill="1" applyBorder="1" applyAlignment="1">
      <alignment horizontal="center" vertical="center" wrapText="1"/>
    </xf>
    <xf numFmtId="0" fontId="30" fillId="0" borderId="0" xfId="0" applyFont="1"/>
    <xf numFmtId="0" fontId="31" fillId="0" borderId="0" xfId="12" applyFont="1" applyBorder="1">
      <alignment horizontal="left" vertical="center" indent="2"/>
    </xf>
    <xf numFmtId="0" fontId="30" fillId="0" borderId="0" xfId="0" applyFont="1" applyBorder="1" applyAlignment="1">
      <alignment horizontal="center" vertical="center" wrapText="1"/>
    </xf>
    <xf numFmtId="0" fontId="30" fillId="2" borderId="0" xfId="0" applyFont="1" applyFill="1" applyBorder="1" applyAlignment="1">
      <alignment horizontal="center" vertical="center" wrapText="1"/>
    </xf>
    <xf numFmtId="0" fontId="32" fillId="0" borderId="0" xfId="0" applyFont="1" applyAlignment="1">
      <alignment horizontal="center" vertical="center" wrapText="1"/>
    </xf>
    <xf numFmtId="0" fontId="30" fillId="0" borderId="0" xfId="3" applyFont="1" applyAlignment="1">
      <alignment horizontal="center" vertical="center" wrapText="1"/>
    </xf>
    <xf numFmtId="0" fontId="30" fillId="0" borderId="0" xfId="0" applyFont="1" applyAlignment="1">
      <alignment horizontal="center" vertical="center" wrapText="1"/>
    </xf>
    <xf numFmtId="0" fontId="32" fillId="0" borderId="0" xfId="0" applyFont="1" applyAlignment="1">
      <alignment horizontal="left" vertical="center" wrapText="1"/>
    </xf>
    <xf numFmtId="0" fontId="4" fillId="0" borderId="4"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34">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tint="0.59996337778862885"/>
        </patternFill>
      </fill>
      <border>
        <left/>
        <right/>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3"/>
      <tableStyleElement type="headerRow" dxfId="32"/>
      <tableStyleElement type="totalRow" dxfId="31"/>
      <tableStyleElement type="firstColumn" dxfId="30"/>
      <tableStyleElement type="lastColumn" dxfId="29"/>
      <tableStyleElement type="firstRowStripe" dxfId="28"/>
      <tableStyleElement type="secondRowStripe" dxfId="27"/>
      <tableStyleElement type="firstColumnStripe" dxfId="26"/>
      <tableStyleElement type="secondColumnStripe" dxfId="2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50F78-E659-4295-9E72-134E73C897E8}">
  <sheetPr>
    <pageSetUpPr fitToPage="1"/>
  </sheetPr>
  <dimension ref="A1:GI36"/>
  <sheetViews>
    <sheetView showGridLines="0" tabSelected="1" showRuler="0" topLeftCell="A3" zoomScale="63" zoomScaleNormal="70" zoomScalePageLayoutView="70" workbookViewId="0">
      <selection activeCell="I21" sqref="I21"/>
    </sheetView>
  </sheetViews>
  <sheetFormatPr defaultColWidth="8.75" defaultRowHeight="30" customHeight="1" x14ac:dyDescent="0.3"/>
  <cols>
    <col min="1" max="1" width="2.75" style="12" customWidth="1"/>
    <col min="2" max="2" width="39.5" customWidth="1"/>
    <col min="3" max="3" width="10.75" style="2" customWidth="1"/>
    <col min="4" max="4" width="10.75" customWidth="1"/>
    <col min="5" max="5" width="2.75" customWidth="1"/>
    <col min="6" max="6" width="6" hidden="1" customWidth="1"/>
    <col min="7" max="20" width="12.58203125" customWidth="1"/>
    <col min="21" max="23" width="12.58203125" style="95" customWidth="1"/>
    <col min="24" max="37" width="12.58203125" customWidth="1"/>
    <col min="38" max="184" width="2.75" customWidth="1"/>
  </cols>
  <sheetData>
    <row r="1" spans="1:191" ht="90" customHeight="1" x14ac:dyDescent="1.7">
      <c r="A1" s="13"/>
      <c r="B1" s="82" t="s">
        <v>22</v>
      </c>
      <c r="C1" s="17"/>
      <c r="D1" s="18"/>
      <c r="F1" s="1"/>
      <c r="G1" s="97"/>
      <c r="H1" s="23"/>
      <c r="I1" s="23"/>
      <c r="J1" s="23"/>
      <c r="K1" s="23"/>
      <c r="L1" s="23"/>
      <c r="M1" s="23"/>
      <c r="N1" s="21"/>
      <c r="O1" s="116"/>
      <c r="P1" s="117"/>
      <c r="Q1" s="117"/>
      <c r="R1" s="117"/>
      <c r="S1" s="117"/>
      <c r="T1" s="117"/>
      <c r="U1" s="117"/>
      <c r="V1" s="117"/>
      <c r="W1" s="117"/>
      <c r="X1" s="117"/>
    </row>
    <row r="2" spans="1:191" ht="30" customHeight="1" x14ac:dyDescent="0.7">
      <c r="B2" s="81" t="s">
        <v>23</v>
      </c>
      <c r="C2" s="20"/>
      <c r="D2" s="19"/>
      <c r="G2" s="118"/>
      <c r="H2" s="119"/>
      <c r="I2" s="119"/>
      <c r="J2" s="119"/>
      <c r="K2" s="119"/>
      <c r="L2" s="119"/>
      <c r="M2" s="119"/>
      <c r="N2" s="21"/>
      <c r="O2" s="120"/>
      <c r="P2" s="117"/>
      <c r="Q2" s="117"/>
      <c r="R2" s="117"/>
      <c r="S2" s="117"/>
      <c r="T2" s="117"/>
      <c r="U2" s="117"/>
      <c r="V2" s="117"/>
      <c r="W2" s="117"/>
      <c r="X2" s="117"/>
    </row>
    <row r="3" spans="1:191" s="23" customFormat="1" ht="30" customHeight="1" x14ac:dyDescent="0.3">
      <c r="A3" s="12"/>
      <c r="B3" s="22" t="s">
        <v>56</v>
      </c>
      <c r="C3" s="25"/>
      <c r="G3" s="125"/>
    </row>
    <row r="4" spans="1:191" s="23" customFormat="1" ht="30" customHeight="1" x14ac:dyDescent="0.3">
      <c r="A4" s="13"/>
      <c r="B4" s="26"/>
      <c r="C4" s="27"/>
    </row>
    <row r="5" spans="1:191" s="23" customFormat="1" ht="15" customHeight="1" x14ac:dyDescent="0.3">
      <c r="A5" s="113"/>
      <c r="B5" s="114" t="s">
        <v>3</v>
      </c>
      <c r="C5" s="109" t="s">
        <v>5</v>
      </c>
      <c r="D5" s="109" t="s">
        <v>6</v>
      </c>
      <c r="G5" s="102" t="s">
        <v>44</v>
      </c>
      <c r="H5" s="102" t="s">
        <v>45</v>
      </c>
      <c r="I5" s="102" t="s">
        <v>46</v>
      </c>
      <c r="J5" s="102" t="s">
        <v>47</v>
      </c>
      <c r="K5" s="104" t="s">
        <v>48</v>
      </c>
      <c r="L5" s="102" t="s">
        <v>57</v>
      </c>
      <c r="M5" s="104" t="s">
        <v>58</v>
      </c>
      <c r="N5" s="106" t="s">
        <v>49</v>
      </c>
      <c r="O5" s="102" t="s">
        <v>50</v>
      </c>
      <c r="P5" s="102" t="s">
        <v>51</v>
      </c>
      <c r="Q5" s="102" t="s">
        <v>52</v>
      </c>
      <c r="R5" s="102" t="s">
        <v>53</v>
      </c>
      <c r="S5" s="102" t="s">
        <v>54</v>
      </c>
      <c r="T5" s="104" t="s">
        <v>55</v>
      </c>
      <c r="U5" s="106" t="s">
        <v>59</v>
      </c>
      <c r="V5" s="102" t="s">
        <v>60</v>
      </c>
      <c r="W5" s="104" t="s">
        <v>61</v>
      </c>
      <c r="X5" s="106" t="s">
        <v>44</v>
      </c>
      <c r="Y5" s="102" t="s">
        <v>45</v>
      </c>
      <c r="Z5" s="102" t="s">
        <v>46</v>
      </c>
      <c r="AA5" s="102" t="s">
        <v>47</v>
      </c>
      <c r="AB5" s="102" t="s">
        <v>48</v>
      </c>
      <c r="AC5" s="102" t="s">
        <v>49</v>
      </c>
      <c r="AD5" s="106" t="s">
        <v>57</v>
      </c>
      <c r="AE5" s="104" t="s">
        <v>58</v>
      </c>
      <c r="AF5" s="102" t="s">
        <v>50</v>
      </c>
      <c r="AG5" s="102" t="s">
        <v>51</v>
      </c>
      <c r="AH5" s="102" t="s">
        <v>52</v>
      </c>
      <c r="AI5" s="102" t="s">
        <v>53</v>
      </c>
      <c r="AJ5" s="102" t="s">
        <v>54</v>
      </c>
      <c r="AK5" s="104" t="s">
        <v>55</v>
      </c>
    </row>
    <row r="6" spans="1:191" s="23" customFormat="1" ht="15" customHeight="1" x14ac:dyDescent="0.3">
      <c r="A6" s="113"/>
      <c r="B6" s="115"/>
      <c r="C6" s="110"/>
      <c r="D6" s="110"/>
      <c r="G6" s="103"/>
      <c r="H6" s="103"/>
      <c r="I6" s="103"/>
      <c r="J6" s="103"/>
      <c r="K6" s="105"/>
      <c r="L6" s="103"/>
      <c r="M6" s="105"/>
      <c r="N6" s="107"/>
      <c r="O6" s="103"/>
      <c r="P6" s="103"/>
      <c r="Q6" s="103"/>
      <c r="R6" s="103"/>
      <c r="S6" s="103"/>
      <c r="T6" s="105"/>
      <c r="U6" s="111"/>
      <c r="V6" s="108"/>
      <c r="W6" s="112"/>
      <c r="X6" s="107"/>
      <c r="Y6" s="103"/>
      <c r="Z6" s="103"/>
      <c r="AA6" s="103"/>
      <c r="AB6" s="103"/>
      <c r="AC6" s="103"/>
      <c r="AD6" s="107"/>
      <c r="AE6" s="105"/>
      <c r="AF6" s="103"/>
      <c r="AG6" s="103"/>
      <c r="AH6" s="103"/>
      <c r="AI6" s="103"/>
      <c r="AJ6" s="103"/>
      <c r="AK6" s="105"/>
    </row>
    <row r="7" spans="1:191" s="23" customFormat="1" ht="45" hidden="1" customHeight="1" thickBot="1" x14ac:dyDescent="0.35">
      <c r="A7" s="12" t="s">
        <v>7</v>
      </c>
      <c r="B7" s="34"/>
      <c r="C7" s="34"/>
      <c r="D7" s="34"/>
      <c r="F7" s="23" t="str">
        <f>IF(OR(ISBLANK(task_start),ISBLANK(task_end)),"",task_end-task_start+1)</f>
        <v/>
      </c>
      <c r="G7" s="35"/>
      <c r="H7" s="35"/>
      <c r="I7" s="35"/>
      <c r="J7" s="35"/>
      <c r="K7" s="35"/>
      <c r="L7" s="35"/>
      <c r="M7" s="35"/>
      <c r="N7" s="35"/>
      <c r="O7" s="35"/>
      <c r="P7" s="35"/>
      <c r="Q7" s="35"/>
      <c r="R7" s="35"/>
      <c r="S7" s="35"/>
      <c r="T7" s="35"/>
      <c r="U7" s="90"/>
      <c r="V7" s="90"/>
      <c r="W7" s="90"/>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row>
    <row r="8" spans="1:191" s="131" customFormat="1" ht="36.5" customHeight="1" thickBot="1" x14ac:dyDescent="0.35">
      <c r="A8" s="130"/>
      <c r="B8" s="132" t="s">
        <v>66</v>
      </c>
      <c r="C8" s="129"/>
      <c r="D8" s="129"/>
      <c r="G8" s="127"/>
      <c r="H8" s="127"/>
      <c r="I8" s="127"/>
      <c r="J8" s="127"/>
      <c r="K8" s="127" t="s">
        <v>67</v>
      </c>
      <c r="L8" s="127"/>
      <c r="M8" s="127"/>
      <c r="N8" s="127"/>
      <c r="O8" s="127"/>
      <c r="P8" s="127"/>
      <c r="Q8" s="127"/>
      <c r="R8" s="127"/>
      <c r="S8" s="127"/>
      <c r="T8" s="127"/>
      <c r="U8" s="128"/>
      <c r="V8" s="128"/>
      <c r="W8" s="128"/>
      <c r="X8" s="127" t="s">
        <v>63</v>
      </c>
      <c r="Y8" s="127"/>
      <c r="Z8" s="127"/>
      <c r="AA8" s="127"/>
      <c r="AB8" s="127"/>
      <c r="AC8" s="127"/>
      <c r="AD8" s="127"/>
      <c r="AE8" s="127"/>
      <c r="AF8" s="127"/>
      <c r="AG8" s="127"/>
      <c r="AH8" s="127"/>
      <c r="AI8" s="127"/>
      <c r="AJ8" s="127" t="s">
        <v>65</v>
      </c>
      <c r="AK8" s="127" t="s">
        <v>64</v>
      </c>
      <c r="AL8" s="127"/>
      <c r="AM8" s="127"/>
      <c r="AN8" s="127"/>
      <c r="AO8" s="127"/>
      <c r="AP8" s="127"/>
      <c r="AQ8" s="127"/>
      <c r="AR8" s="127"/>
      <c r="AS8" s="127"/>
      <c r="AT8" s="127"/>
      <c r="AU8" s="127"/>
      <c r="AV8" s="127"/>
      <c r="AW8" s="127"/>
      <c r="AX8" s="127"/>
      <c r="AY8" s="127"/>
      <c r="AZ8" s="127"/>
      <c r="BA8" s="127"/>
      <c r="BB8" s="127"/>
      <c r="BC8" s="127"/>
      <c r="BD8" s="127"/>
      <c r="BE8" s="127"/>
      <c r="BF8" s="127"/>
      <c r="BG8" s="127"/>
      <c r="BH8" s="127"/>
      <c r="BI8" s="127"/>
      <c r="BJ8" s="127"/>
      <c r="BK8" s="127"/>
      <c r="BL8" s="127"/>
      <c r="BM8" s="127"/>
      <c r="BN8" s="127"/>
      <c r="BO8" s="127"/>
      <c r="BP8" s="127"/>
      <c r="BQ8" s="127"/>
      <c r="BR8" s="127"/>
      <c r="BS8" s="127"/>
      <c r="BT8" s="127"/>
      <c r="BU8" s="127"/>
      <c r="BV8" s="127"/>
      <c r="BW8" s="127"/>
      <c r="BX8" s="127"/>
      <c r="BY8" s="127"/>
      <c r="BZ8" s="127"/>
      <c r="CA8" s="127"/>
      <c r="CB8" s="127"/>
      <c r="CC8" s="127"/>
      <c r="CD8" s="127"/>
      <c r="CE8" s="127"/>
      <c r="CF8" s="127"/>
      <c r="CG8" s="127"/>
      <c r="CH8" s="127"/>
      <c r="CI8" s="127"/>
      <c r="CJ8" s="127"/>
      <c r="CK8" s="127"/>
      <c r="CL8" s="127"/>
      <c r="CM8" s="127"/>
      <c r="CN8" s="127"/>
      <c r="CO8" s="127"/>
      <c r="CP8" s="127"/>
      <c r="CQ8" s="127"/>
      <c r="CR8" s="127"/>
      <c r="CS8" s="127"/>
      <c r="CT8" s="127"/>
      <c r="CU8" s="127"/>
      <c r="CV8" s="127"/>
      <c r="CW8" s="127"/>
      <c r="CX8" s="127"/>
      <c r="CY8" s="127"/>
      <c r="CZ8" s="127"/>
      <c r="DA8" s="127"/>
      <c r="DB8" s="127"/>
      <c r="DC8" s="127"/>
      <c r="DD8" s="127"/>
      <c r="DE8" s="127"/>
      <c r="DF8" s="127"/>
      <c r="DG8" s="127"/>
      <c r="DH8" s="127"/>
      <c r="DI8" s="127"/>
      <c r="DJ8" s="127"/>
      <c r="DK8" s="127"/>
      <c r="DL8" s="127"/>
      <c r="DM8" s="127"/>
      <c r="DN8" s="127"/>
      <c r="DO8" s="127"/>
      <c r="DP8" s="127"/>
      <c r="DQ8" s="127"/>
      <c r="DR8" s="127"/>
      <c r="DS8" s="127"/>
      <c r="DT8" s="127"/>
      <c r="DU8" s="127"/>
      <c r="DV8" s="127"/>
      <c r="DW8" s="127"/>
      <c r="DX8" s="127"/>
      <c r="DY8" s="127"/>
      <c r="DZ8" s="127"/>
      <c r="EA8" s="127"/>
      <c r="EB8" s="127"/>
      <c r="EC8" s="127"/>
      <c r="ED8" s="127"/>
      <c r="EE8" s="127"/>
      <c r="EF8" s="127"/>
      <c r="EG8" s="127"/>
      <c r="EH8" s="127"/>
      <c r="EI8" s="127"/>
      <c r="EJ8" s="127"/>
      <c r="EK8" s="127"/>
      <c r="EL8" s="127"/>
      <c r="EM8" s="127"/>
      <c r="EN8" s="127"/>
      <c r="EO8" s="127"/>
      <c r="EP8" s="127"/>
      <c r="EQ8" s="127"/>
      <c r="ER8" s="127"/>
      <c r="ES8" s="127"/>
      <c r="ET8" s="127"/>
      <c r="EU8" s="127"/>
      <c r="EV8" s="127"/>
      <c r="EW8" s="127"/>
      <c r="EX8" s="127"/>
      <c r="EY8" s="127"/>
      <c r="EZ8" s="127"/>
      <c r="FA8" s="127"/>
      <c r="FB8" s="127"/>
      <c r="FC8" s="127"/>
      <c r="FD8" s="127"/>
      <c r="FE8" s="127"/>
      <c r="FF8" s="127"/>
      <c r="FG8" s="127"/>
      <c r="FH8" s="127"/>
      <c r="FI8" s="127"/>
      <c r="FJ8" s="127"/>
      <c r="FK8" s="127"/>
      <c r="FL8" s="127"/>
      <c r="FM8" s="127"/>
      <c r="FN8" s="127"/>
      <c r="FO8" s="127"/>
      <c r="FP8" s="127"/>
      <c r="FQ8" s="127"/>
      <c r="FR8" s="127"/>
      <c r="FS8" s="127"/>
      <c r="FT8" s="127"/>
      <c r="FU8" s="127"/>
      <c r="FV8" s="127"/>
      <c r="FW8" s="127"/>
      <c r="FX8" s="127"/>
      <c r="FY8" s="127"/>
      <c r="FZ8" s="127"/>
      <c r="GA8" s="127"/>
      <c r="GB8" s="127"/>
      <c r="GC8" s="127"/>
      <c r="GD8" s="127"/>
      <c r="GE8" s="127"/>
      <c r="GF8" s="127"/>
      <c r="GG8" s="127"/>
      <c r="GH8" s="127"/>
      <c r="GI8" s="127"/>
    </row>
    <row r="9" spans="1:191" s="41" customFormat="1" ht="30" customHeight="1" thickBot="1" x14ac:dyDescent="0.35">
      <c r="A9" s="13"/>
      <c r="B9" s="36" t="s">
        <v>32</v>
      </c>
      <c r="C9" s="38"/>
      <c r="D9" s="39"/>
      <c r="E9" s="15"/>
      <c r="F9" s="4" t="str">
        <f t="shared" ref="F9:F34" si="0">IF(OR(ISBLANK(task_start),ISBLANK(task_end)),"",task_end-task_start+1)</f>
        <v/>
      </c>
      <c r="G9" s="45"/>
      <c r="H9" s="40"/>
      <c r="I9" s="40"/>
      <c r="J9" s="40"/>
      <c r="K9" s="40"/>
      <c r="L9" s="40"/>
      <c r="M9" s="40"/>
      <c r="N9" s="40"/>
      <c r="O9" s="40"/>
      <c r="P9" s="40"/>
      <c r="Q9" s="40"/>
      <c r="R9" s="40"/>
      <c r="S9" s="40"/>
      <c r="T9" s="40"/>
      <c r="U9" s="91"/>
      <c r="V9" s="91"/>
      <c r="W9" s="91"/>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c r="CO9" s="40"/>
      <c r="CP9" s="40"/>
      <c r="CQ9" s="40"/>
      <c r="CR9" s="40"/>
      <c r="CS9" s="40"/>
      <c r="CT9" s="40"/>
      <c r="CU9" s="40"/>
      <c r="CV9" s="40"/>
      <c r="CW9" s="40"/>
      <c r="CX9" s="40"/>
      <c r="CY9" s="40"/>
      <c r="CZ9" s="40"/>
      <c r="DA9" s="40"/>
      <c r="DB9" s="40"/>
      <c r="DC9" s="40"/>
      <c r="DD9" s="40"/>
      <c r="DE9" s="40"/>
      <c r="DF9" s="40"/>
      <c r="DG9" s="40"/>
      <c r="DH9" s="40"/>
      <c r="DI9" s="40"/>
      <c r="DJ9" s="40"/>
      <c r="DK9" s="40"/>
      <c r="DL9" s="40"/>
      <c r="DM9" s="40"/>
      <c r="DN9" s="40"/>
      <c r="DO9" s="40"/>
      <c r="DP9" s="40"/>
      <c r="DQ9" s="40"/>
      <c r="DR9" s="40"/>
      <c r="DS9" s="40"/>
      <c r="DT9" s="40"/>
      <c r="DU9" s="40"/>
      <c r="DV9" s="40"/>
      <c r="DW9" s="40"/>
      <c r="DX9" s="40"/>
      <c r="DY9" s="40"/>
      <c r="DZ9" s="40"/>
      <c r="EA9" s="40"/>
      <c r="EB9" s="40"/>
      <c r="EC9" s="40"/>
      <c r="ED9" s="40"/>
      <c r="EE9" s="40"/>
      <c r="EF9" s="40"/>
      <c r="EG9" s="40"/>
      <c r="EH9" s="40"/>
      <c r="EI9" s="40"/>
      <c r="EJ9" s="40"/>
      <c r="EK9" s="40"/>
      <c r="EL9" s="40"/>
      <c r="EM9" s="40"/>
      <c r="EN9" s="40"/>
      <c r="EO9" s="40"/>
      <c r="EP9" s="40"/>
      <c r="EQ9" s="40"/>
      <c r="ER9" s="40"/>
      <c r="ES9" s="40"/>
      <c r="ET9" s="40"/>
      <c r="EU9" s="40"/>
      <c r="EV9" s="40"/>
      <c r="EW9" s="40"/>
      <c r="EX9" s="40"/>
      <c r="EY9" s="40"/>
      <c r="EZ9" s="40"/>
      <c r="FA9" s="40"/>
      <c r="FB9" s="40"/>
      <c r="FC9" s="40"/>
      <c r="FD9" s="40"/>
      <c r="FE9" s="40"/>
      <c r="FF9" s="40"/>
      <c r="FG9" s="40"/>
      <c r="FH9" s="40"/>
      <c r="FI9" s="40"/>
      <c r="FJ9" s="40"/>
      <c r="FK9" s="40"/>
      <c r="FL9" s="40"/>
      <c r="FM9" s="40"/>
      <c r="FN9" s="40"/>
      <c r="FO9" s="40"/>
      <c r="FP9" s="40"/>
      <c r="FQ9" s="40"/>
      <c r="FR9" s="40"/>
      <c r="FS9" s="40"/>
      <c r="FT9" s="40"/>
      <c r="FU9" s="40"/>
      <c r="FV9" s="40"/>
      <c r="FW9" s="40"/>
      <c r="FX9" s="40"/>
      <c r="FY9" s="40"/>
      <c r="FZ9" s="40"/>
      <c r="GA9" s="40"/>
      <c r="GB9" s="40"/>
      <c r="GC9" s="40"/>
      <c r="GD9" s="40"/>
      <c r="GE9" s="40"/>
      <c r="GF9" s="40"/>
      <c r="GG9" s="40"/>
      <c r="GH9" s="40"/>
      <c r="GI9" s="40"/>
    </row>
    <row r="10" spans="1:191" s="41" customFormat="1" ht="30" customHeight="1" thickBot="1" x14ac:dyDescent="0.35">
      <c r="A10" s="13"/>
      <c r="B10" s="42" t="s">
        <v>24</v>
      </c>
      <c r="C10" s="44" t="s">
        <v>44</v>
      </c>
      <c r="D10" s="44" t="s">
        <v>44</v>
      </c>
      <c r="E10" s="15"/>
      <c r="F10" s="4" t="e">
        <f t="shared" si="0"/>
        <v>#VALUE!</v>
      </c>
      <c r="G10" s="99"/>
      <c r="H10" s="45"/>
      <c r="I10" s="45"/>
      <c r="J10" s="45"/>
      <c r="K10" s="45"/>
      <c r="L10" s="45"/>
      <c r="M10" s="45"/>
      <c r="N10" s="45"/>
      <c r="O10" s="45"/>
      <c r="P10" s="45"/>
      <c r="Q10" s="45"/>
      <c r="R10" s="45"/>
      <c r="S10" s="45"/>
      <c r="T10" s="45"/>
      <c r="U10" s="92"/>
      <c r="V10" s="92"/>
      <c r="W10" s="92"/>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45"/>
      <c r="ES10" s="45"/>
      <c r="ET10" s="45"/>
      <c r="EU10" s="45"/>
      <c r="EV10" s="45"/>
      <c r="EW10" s="45"/>
      <c r="EX10" s="45"/>
      <c r="EY10" s="45"/>
      <c r="EZ10" s="45"/>
      <c r="FA10" s="45"/>
      <c r="FB10" s="45"/>
      <c r="FC10" s="45"/>
      <c r="FD10" s="45"/>
      <c r="FE10" s="45"/>
      <c r="FF10" s="45"/>
      <c r="FG10" s="45"/>
      <c r="FH10" s="45"/>
      <c r="FI10" s="45"/>
      <c r="FJ10" s="45"/>
      <c r="FK10" s="45"/>
      <c r="FL10" s="45"/>
      <c r="FM10" s="45"/>
      <c r="FN10" s="45"/>
      <c r="FO10" s="45"/>
      <c r="FP10" s="45"/>
      <c r="FQ10" s="45"/>
      <c r="FR10" s="45"/>
      <c r="FS10" s="45"/>
      <c r="FT10" s="45"/>
      <c r="FU10" s="45"/>
      <c r="FV10" s="45"/>
      <c r="FW10" s="45"/>
      <c r="FX10" s="45"/>
      <c r="FY10" s="45"/>
      <c r="FZ10" s="45"/>
      <c r="GA10" s="45"/>
      <c r="GB10" s="45"/>
      <c r="GC10" s="45"/>
      <c r="GD10" s="45"/>
      <c r="GE10" s="45"/>
      <c r="GF10" s="45"/>
      <c r="GG10" s="45"/>
      <c r="GH10" s="45"/>
      <c r="GI10" s="45"/>
    </row>
    <row r="11" spans="1:191" s="41" customFormat="1" ht="30" customHeight="1" thickBot="1" x14ac:dyDescent="0.35">
      <c r="A11" s="13"/>
      <c r="B11" s="46" t="s">
        <v>26</v>
      </c>
      <c r="C11" s="48" t="s">
        <v>44</v>
      </c>
      <c r="D11" s="48" t="s">
        <v>46</v>
      </c>
      <c r="E11" s="15"/>
      <c r="F11" s="4" t="e">
        <f t="shared" si="0"/>
        <v>#VALUE!</v>
      </c>
      <c r="G11" s="98"/>
      <c r="H11" s="98"/>
      <c r="I11" s="98"/>
      <c r="J11" s="45"/>
      <c r="K11" s="45"/>
      <c r="L11" s="45"/>
      <c r="M11" s="45"/>
      <c r="N11" s="45"/>
      <c r="O11" s="45"/>
      <c r="P11" s="45"/>
      <c r="Q11" s="45"/>
      <c r="R11" s="45"/>
      <c r="S11" s="49"/>
      <c r="T11" s="49"/>
      <c r="U11" s="92"/>
      <c r="V11" s="92"/>
      <c r="W11" s="92"/>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c r="GD11" s="45"/>
      <c r="GE11" s="45"/>
      <c r="GF11" s="45"/>
      <c r="GG11" s="45"/>
      <c r="GH11" s="45"/>
      <c r="GI11" s="45"/>
    </row>
    <row r="12" spans="1:191" s="41" customFormat="1" ht="30" customHeight="1" thickBot="1" x14ac:dyDescent="0.35">
      <c r="A12" s="12"/>
      <c r="B12" s="46"/>
      <c r="C12" s="48"/>
      <c r="D12" s="48"/>
      <c r="E12" s="15"/>
      <c r="F12" s="4" t="str">
        <f t="shared" si="0"/>
        <v/>
      </c>
      <c r="G12" s="45"/>
      <c r="H12" s="45"/>
      <c r="I12" s="45"/>
      <c r="J12" s="45"/>
      <c r="K12" s="45"/>
      <c r="L12" s="45"/>
      <c r="M12" s="45"/>
      <c r="N12" s="45"/>
      <c r="O12" s="45"/>
      <c r="P12" s="45"/>
      <c r="Q12" s="45"/>
      <c r="R12" s="45"/>
      <c r="S12" s="45"/>
      <c r="T12" s="45"/>
      <c r="U12" s="92"/>
      <c r="V12" s="92"/>
      <c r="W12" s="92"/>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45"/>
      <c r="EB12" s="45"/>
      <c r="EC12" s="45"/>
      <c r="ED12" s="45"/>
      <c r="EE12" s="45"/>
      <c r="EF12" s="45"/>
      <c r="EG12" s="45"/>
      <c r="EH12" s="45"/>
      <c r="EI12" s="45"/>
      <c r="EJ12" s="45"/>
      <c r="EK12" s="45"/>
      <c r="EL12" s="45"/>
      <c r="EM12" s="45"/>
      <c r="EN12" s="45"/>
      <c r="EO12" s="45"/>
      <c r="EP12" s="45"/>
      <c r="EQ12" s="45"/>
      <c r="ER12" s="45"/>
      <c r="ES12" s="45"/>
      <c r="ET12" s="45"/>
      <c r="EU12" s="45"/>
      <c r="EV12" s="45"/>
      <c r="EW12" s="45"/>
      <c r="EX12" s="45"/>
      <c r="EY12" s="45"/>
      <c r="EZ12" s="45"/>
      <c r="FA12" s="45"/>
      <c r="FB12" s="45"/>
      <c r="FC12" s="45"/>
      <c r="FD12" s="45"/>
      <c r="FE12" s="45"/>
      <c r="FF12" s="45"/>
      <c r="FG12" s="45"/>
      <c r="FH12" s="45"/>
      <c r="FI12" s="45"/>
      <c r="FJ12" s="45"/>
      <c r="FK12" s="45"/>
      <c r="FL12" s="45"/>
      <c r="FM12" s="45"/>
      <c r="FN12" s="45"/>
      <c r="FO12" s="45"/>
      <c r="FP12" s="45"/>
      <c r="FQ12" s="45"/>
      <c r="FR12" s="45"/>
      <c r="FS12" s="45"/>
      <c r="FT12" s="45"/>
      <c r="FU12" s="45"/>
      <c r="FV12" s="45"/>
      <c r="FW12" s="45"/>
      <c r="FX12" s="45"/>
      <c r="FY12" s="45"/>
      <c r="FZ12" s="45"/>
      <c r="GA12" s="45"/>
      <c r="GB12" s="45"/>
      <c r="GC12" s="45"/>
      <c r="GD12" s="45"/>
      <c r="GE12" s="45"/>
      <c r="GF12" s="45"/>
      <c r="GG12" s="45"/>
      <c r="GH12" s="45"/>
      <c r="GI12" s="45"/>
    </row>
    <row r="13" spans="1:191" s="41" customFormat="1" ht="30" customHeight="1" thickBot="1" x14ac:dyDescent="0.35">
      <c r="A13" s="12"/>
      <c r="B13" s="46" t="s">
        <v>42</v>
      </c>
      <c r="C13" s="48" t="s">
        <v>45</v>
      </c>
      <c r="D13" s="48" t="s">
        <v>46</v>
      </c>
      <c r="E13" s="15"/>
      <c r="F13" s="4" t="e">
        <f t="shared" si="0"/>
        <v>#VALUE!</v>
      </c>
      <c r="G13" s="45"/>
      <c r="H13" s="98"/>
      <c r="I13" s="98"/>
      <c r="J13" s="45"/>
      <c r="K13" s="45"/>
      <c r="L13" s="45"/>
      <c r="M13" s="45"/>
      <c r="N13" s="45"/>
      <c r="O13" s="45"/>
      <c r="P13" s="45"/>
      <c r="Q13" s="45"/>
      <c r="R13" s="45"/>
      <c r="S13" s="45"/>
      <c r="T13" s="45"/>
      <c r="U13" s="92"/>
      <c r="V13" s="92"/>
      <c r="W13" s="96"/>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row>
    <row r="14" spans="1:191" s="41" customFormat="1" ht="30" customHeight="1" thickBot="1" x14ac:dyDescent="0.35">
      <c r="A14" s="12"/>
      <c r="B14" s="46" t="s">
        <v>25</v>
      </c>
      <c r="C14" s="48" t="s">
        <v>47</v>
      </c>
      <c r="D14" s="48" t="s">
        <v>47</v>
      </c>
      <c r="E14" s="15"/>
      <c r="F14" s="4" t="e">
        <f t="shared" si="0"/>
        <v>#VALUE!</v>
      </c>
      <c r="G14" s="45"/>
      <c r="H14" s="45"/>
      <c r="I14" s="45"/>
      <c r="J14" s="98"/>
      <c r="K14" s="45"/>
      <c r="L14" s="45"/>
      <c r="M14" s="45"/>
      <c r="N14" s="45"/>
      <c r="O14" s="45"/>
      <c r="P14" s="45"/>
      <c r="Q14" s="45"/>
      <c r="R14" s="45"/>
      <c r="S14" s="45"/>
      <c r="T14" s="45"/>
      <c r="U14" s="92"/>
      <c r="V14" s="92"/>
      <c r="W14" s="92"/>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c r="FD14" s="45"/>
      <c r="FE14" s="45"/>
      <c r="FF14" s="45"/>
      <c r="FG14" s="45"/>
      <c r="FH14" s="45"/>
      <c r="FI14" s="45"/>
      <c r="FJ14" s="45"/>
      <c r="FK14" s="45"/>
      <c r="FL14" s="45"/>
      <c r="FM14" s="45"/>
      <c r="FN14" s="45"/>
      <c r="FO14" s="45"/>
      <c r="FP14" s="45"/>
      <c r="FQ14" s="45"/>
      <c r="FR14" s="45"/>
      <c r="FS14" s="45"/>
      <c r="FT14" s="45"/>
      <c r="FU14" s="45"/>
      <c r="FV14" s="45"/>
      <c r="FW14" s="45"/>
      <c r="FX14" s="45"/>
      <c r="FY14" s="45"/>
      <c r="FZ14" s="45"/>
      <c r="GA14" s="45"/>
      <c r="GB14" s="45"/>
      <c r="GC14" s="45"/>
      <c r="GD14" s="45"/>
      <c r="GE14" s="45"/>
      <c r="GF14" s="45"/>
      <c r="GG14" s="45"/>
      <c r="GH14" s="45"/>
      <c r="GI14" s="45"/>
    </row>
    <row r="15" spans="1:191" s="41" customFormat="1" ht="30" customHeight="1" thickBot="1" x14ac:dyDescent="0.35">
      <c r="A15" s="13"/>
      <c r="B15" s="50" t="s">
        <v>27</v>
      </c>
      <c r="C15" s="52"/>
      <c r="D15" s="53"/>
      <c r="E15" s="15"/>
      <c r="F15" s="4" t="str">
        <f t="shared" si="0"/>
        <v/>
      </c>
      <c r="U15" s="80"/>
      <c r="V15" s="80"/>
      <c r="W15" s="80"/>
    </row>
    <row r="16" spans="1:191" s="41" customFormat="1" ht="30" customHeight="1" thickBot="1" x14ac:dyDescent="0.35">
      <c r="A16" s="13"/>
      <c r="B16" s="54" t="s">
        <v>28</v>
      </c>
      <c r="C16" s="56" t="s">
        <v>46</v>
      </c>
      <c r="D16" s="56" t="s">
        <v>47</v>
      </c>
      <c r="E16" s="15"/>
      <c r="F16" s="4" t="e">
        <f t="shared" si="0"/>
        <v>#VALUE!</v>
      </c>
      <c r="G16" s="45"/>
      <c r="H16" s="45"/>
      <c r="I16" s="100"/>
      <c r="J16" s="100"/>
      <c r="K16" s="45"/>
      <c r="L16" s="45"/>
      <c r="M16" s="45"/>
      <c r="N16" s="45"/>
      <c r="O16" s="45"/>
      <c r="P16" s="45"/>
      <c r="Q16" s="45"/>
      <c r="R16" s="45"/>
      <c r="S16" s="45"/>
      <c r="T16" s="45"/>
      <c r="U16" s="92"/>
      <c r="V16" s="92"/>
      <c r="W16" s="92"/>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c r="DM16" s="45"/>
      <c r="DN16" s="45"/>
      <c r="DO16" s="45"/>
      <c r="DP16" s="45"/>
      <c r="DQ16" s="45"/>
      <c r="DR16" s="45"/>
      <c r="DS16" s="45"/>
      <c r="DT16" s="45"/>
      <c r="DU16" s="45"/>
      <c r="DV16" s="45"/>
      <c r="DW16" s="45"/>
      <c r="DX16" s="45"/>
      <c r="DY16" s="45"/>
      <c r="DZ16" s="45"/>
      <c r="EA16" s="45"/>
      <c r="EB16" s="45"/>
      <c r="EC16" s="45"/>
      <c r="ED16" s="45"/>
      <c r="EE16" s="45"/>
      <c r="EF16" s="45"/>
      <c r="EG16" s="45"/>
      <c r="EH16" s="45"/>
      <c r="EI16" s="45"/>
      <c r="EJ16" s="45"/>
      <c r="EK16" s="45"/>
      <c r="EL16" s="45"/>
      <c r="EM16" s="45"/>
      <c r="EN16" s="45"/>
      <c r="EO16" s="45"/>
      <c r="EP16" s="45"/>
      <c r="EQ16" s="45"/>
      <c r="ER16" s="45"/>
      <c r="ES16" s="45"/>
      <c r="ET16" s="45"/>
      <c r="EU16" s="45"/>
      <c r="EV16" s="45"/>
      <c r="EW16" s="45"/>
      <c r="EX16" s="45"/>
      <c r="EY16" s="45"/>
      <c r="EZ16" s="45"/>
      <c r="FA16" s="45"/>
      <c r="FB16" s="45"/>
      <c r="FC16" s="45"/>
      <c r="FD16" s="45"/>
      <c r="FE16" s="45"/>
      <c r="FF16" s="45"/>
      <c r="FG16" s="45"/>
      <c r="FH16" s="45"/>
      <c r="FI16" s="45"/>
      <c r="FJ16" s="45"/>
      <c r="FK16" s="45"/>
      <c r="FL16" s="45"/>
      <c r="FM16" s="45"/>
      <c r="FN16" s="45"/>
      <c r="FO16" s="45"/>
      <c r="FP16" s="45"/>
      <c r="FQ16" s="45"/>
      <c r="FR16" s="45"/>
      <c r="FS16" s="45"/>
      <c r="FT16" s="45"/>
      <c r="FU16" s="45"/>
      <c r="FV16" s="45"/>
      <c r="FW16" s="45"/>
      <c r="FX16" s="45"/>
      <c r="FY16" s="45"/>
      <c r="FZ16" s="45"/>
      <c r="GA16" s="45"/>
      <c r="GB16" s="45"/>
      <c r="GC16" s="45"/>
      <c r="GD16" s="45"/>
      <c r="GE16" s="45"/>
      <c r="GF16" s="45"/>
      <c r="GG16" s="45"/>
      <c r="GH16" s="45"/>
      <c r="GI16" s="45"/>
    </row>
    <row r="17" spans="1:191" s="41" customFormat="1" ht="30" customHeight="1" thickBot="1" x14ac:dyDescent="0.35">
      <c r="A17" s="12"/>
      <c r="B17" s="54" t="s">
        <v>31</v>
      </c>
      <c r="C17" s="56" t="s">
        <v>47</v>
      </c>
      <c r="D17" s="56" t="s">
        <v>48</v>
      </c>
      <c r="E17" s="15"/>
      <c r="F17" s="4" t="e">
        <f t="shared" si="0"/>
        <v>#VALUE!</v>
      </c>
      <c r="G17" s="45"/>
      <c r="H17" s="45"/>
      <c r="I17" s="45"/>
      <c r="J17" s="100"/>
      <c r="K17" s="100"/>
      <c r="L17" s="45"/>
      <c r="M17" s="45"/>
      <c r="N17" s="45"/>
      <c r="O17" s="45"/>
      <c r="P17" s="45"/>
      <c r="Q17" s="45"/>
      <c r="R17" s="45"/>
      <c r="S17" s="49"/>
      <c r="T17" s="49"/>
      <c r="U17" s="92"/>
      <c r="V17" s="92"/>
      <c r="W17" s="92"/>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c r="DM17" s="45"/>
      <c r="DN17" s="45"/>
      <c r="DO17" s="45"/>
      <c r="DP17" s="45"/>
      <c r="DQ17" s="45"/>
      <c r="DR17" s="45"/>
      <c r="DS17" s="45"/>
      <c r="DT17" s="45"/>
      <c r="DU17" s="45"/>
      <c r="DV17" s="45"/>
      <c r="DW17" s="45"/>
      <c r="DX17" s="45"/>
      <c r="DY17" s="45"/>
      <c r="DZ17" s="45"/>
      <c r="EA17" s="45"/>
      <c r="EB17" s="45"/>
      <c r="EC17" s="45"/>
      <c r="ED17" s="45"/>
      <c r="EE17" s="45"/>
      <c r="EF17" s="45"/>
      <c r="EG17" s="45"/>
      <c r="EH17" s="45"/>
      <c r="EI17" s="45"/>
      <c r="EJ17" s="45"/>
      <c r="EK17" s="45"/>
      <c r="EL17" s="45"/>
      <c r="EM17" s="45"/>
      <c r="EN17" s="45"/>
      <c r="EO17" s="45"/>
      <c r="EP17" s="45"/>
      <c r="EQ17" s="45"/>
      <c r="ER17" s="45"/>
      <c r="ES17" s="45"/>
      <c r="ET17" s="45"/>
      <c r="EU17" s="45"/>
      <c r="EV17" s="45"/>
      <c r="EW17" s="45"/>
      <c r="EX17" s="45"/>
      <c r="EY17" s="45"/>
      <c r="EZ17" s="45"/>
      <c r="FA17" s="45"/>
      <c r="FB17" s="45"/>
      <c r="FC17" s="45"/>
      <c r="FD17" s="45"/>
      <c r="FE17" s="45"/>
      <c r="FF17" s="45"/>
      <c r="FG17" s="45"/>
      <c r="FH17" s="45"/>
      <c r="FI17" s="45"/>
      <c r="FJ17" s="45"/>
      <c r="FK17" s="45"/>
      <c r="FL17" s="45"/>
      <c r="FM17" s="45"/>
      <c r="FN17" s="45"/>
      <c r="FO17" s="45"/>
      <c r="FP17" s="45"/>
      <c r="FQ17" s="45"/>
      <c r="FR17" s="45"/>
      <c r="FS17" s="45"/>
      <c r="FT17" s="45"/>
      <c r="FU17" s="45"/>
      <c r="FV17" s="45"/>
      <c r="FW17" s="45"/>
      <c r="FX17" s="45"/>
      <c r="FY17" s="45"/>
      <c r="FZ17" s="45"/>
      <c r="GA17" s="45"/>
      <c r="GB17" s="45"/>
      <c r="GC17" s="45"/>
      <c r="GD17" s="45"/>
      <c r="GE17" s="45"/>
      <c r="GF17" s="45"/>
      <c r="GG17" s="45"/>
      <c r="GH17" s="45"/>
      <c r="GI17" s="45"/>
    </row>
    <row r="18" spans="1:191" s="41" customFormat="1" ht="30" customHeight="1" thickBot="1" x14ac:dyDescent="0.35">
      <c r="A18" s="12"/>
      <c r="B18" s="54" t="s">
        <v>62</v>
      </c>
      <c r="C18" s="56" t="s">
        <v>47</v>
      </c>
      <c r="D18" s="56" t="s">
        <v>48</v>
      </c>
      <c r="E18" s="15"/>
      <c r="F18" s="4" t="e">
        <f t="shared" si="0"/>
        <v>#VALUE!</v>
      </c>
      <c r="G18" s="45"/>
      <c r="H18" s="45"/>
      <c r="I18" s="45"/>
      <c r="J18" s="100"/>
      <c r="K18" s="100"/>
      <c r="L18" s="45"/>
      <c r="M18" s="45"/>
      <c r="N18" s="45"/>
      <c r="O18" s="45"/>
      <c r="P18" s="45"/>
      <c r="Q18" s="45"/>
      <c r="R18" s="45"/>
      <c r="S18" s="45"/>
      <c r="T18" s="45"/>
      <c r="U18" s="92"/>
      <c r="V18" s="92"/>
      <c r="W18" s="92"/>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c r="CO18" s="45"/>
      <c r="CP18" s="45"/>
      <c r="CQ18" s="45"/>
      <c r="CR18" s="45"/>
      <c r="CS18" s="45"/>
      <c r="CT18" s="45"/>
      <c r="CU18" s="45"/>
      <c r="CV18" s="45"/>
      <c r="CW18" s="45"/>
      <c r="CX18" s="45"/>
      <c r="CY18" s="45"/>
      <c r="CZ18" s="45"/>
      <c r="DA18" s="45"/>
      <c r="DB18" s="45"/>
      <c r="DC18" s="45"/>
      <c r="DD18" s="45"/>
      <c r="DE18" s="45"/>
      <c r="DF18" s="45"/>
      <c r="DG18" s="45"/>
      <c r="DH18" s="45"/>
      <c r="DI18" s="45"/>
      <c r="DJ18" s="45"/>
      <c r="DK18" s="45"/>
      <c r="DL18" s="45"/>
      <c r="DM18" s="45"/>
      <c r="DN18" s="45"/>
      <c r="DO18" s="45"/>
      <c r="DP18" s="45"/>
      <c r="DQ18" s="45"/>
      <c r="DR18" s="45"/>
      <c r="DS18" s="45"/>
      <c r="DT18" s="45"/>
      <c r="DU18" s="45"/>
      <c r="DV18" s="45"/>
      <c r="DW18" s="45"/>
      <c r="DX18" s="45"/>
      <c r="DY18" s="45"/>
      <c r="DZ18" s="45"/>
      <c r="EA18" s="45"/>
      <c r="EB18" s="45"/>
      <c r="EC18" s="45"/>
      <c r="ED18" s="45"/>
      <c r="EE18" s="45"/>
      <c r="EF18" s="45"/>
      <c r="EG18" s="45"/>
      <c r="EH18" s="45"/>
      <c r="EI18" s="45"/>
      <c r="EJ18" s="45"/>
      <c r="EK18" s="45"/>
      <c r="EL18" s="45"/>
      <c r="EM18" s="45"/>
      <c r="EN18" s="45"/>
      <c r="EO18" s="45"/>
      <c r="EP18" s="45"/>
      <c r="EQ18" s="45"/>
      <c r="ER18" s="45"/>
      <c r="ES18" s="45"/>
      <c r="ET18" s="45"/>
      <c r="EU18" s="45"/>
      <c r="EV18" s="45"/>
      <c r="EW18" s="45"/>
      <c r="EX18" s="45"/>
      <c r="EY18" s="45"/>
      <c r="EZ18" s="45"/>
      <c r="FA18" s="45"/>
      <c r="FB18" s="45"/>
      <c r="FC18" s="45"/>
      <c r="FD18" s="45"/>
      <c r="FE18" s="45"/>
      <c r="FF18" s="45"/>
      <c r="FG18" s="45"/>
      <c r="FH18" s="45"/>
      <c r="FI18" s="45"/>
      <c r="FJ18" s="45"/>
      <c r="FK18" s="45"/>
      <c r="FL18" s="45"/>
      <c r="FM18" s="45"/>
      <c r="FN18" s="45"/>
      <c r="FO18" s="45"/>
      <c r="FP18" s="45"/>
      <c r="FQ18" s="45"/>
      <c r="FR18" s="45"/>
      <c r="FS18" s="45"/>
      <c r="FT18" s="45"/>
      <c r="FU18" s="45"/>
      <c r="FV18" s="45"/>
      <c r="FW18" s="45"/>
      <c r="FX18" s="45"/>
      <c r="FY18" s="45"/>
      <c r="FZ18" s="45"/>
      <c r="GA18" s="45"/>
      <c r="GB18" s="45"/>
      <c r="GC18" s="45"/>
      <c r="GD18" s="45"/>
      <c r="GE18" s="45"/>
      <c r="GF18" s="45"/>
      <c r="GG18" s="45"/>
      <c r="GH18" s="45"/>
      <c r="GI18" s="45"/>
    </row>
    <row r="19" spans="1:191" s="41" customFormat="1" ht="30" customHeight="1" thickBot="1" x14ac:dyDescent="0.35">
      <c r="A19" s="12"/>
      <c r="B19" s="54" t="s">
        <v>30</v>
      </c>
      <c r="C19" s="56" t="s">
        <v>47</v>
      </c>
      <c r="D19" s="56" t="s">
        <v>48</v>
      </c>
      <c r="E19" s="15"/>
      <c r="F19" s="4" t="e">
        <f t="shared" si="0"/>
        <v>#VALUE!</v>
      </c>
      <c r="G19" s="45"/>
      <c r="H19" s="45"/>
      <c r="I19" s="45"/>
      <c r="J19" s="100"/>
      <c r="K19" s="100"/>
      <c r="L19" s="45"/>
      <c r="M19" s="45"/>
      <c r="N19" s="45"/>
      <c r="O19" s="45"/>
      <c r="P19" s="45"/>
      <c r="Q19" s="45"/>
      <c r="R19" s="45"/>
      <c r="S19" s="45"/>
      <c r="T19" s="45"/>
      <c r="U19" s="92"/>
      <c r="V19" s="92"/>
      <c r="W19" s="96"/>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45"/>
      <c r="EM19" s="45"/>
      <c r="EN19" s="45"/>
      <c r="EO19" s="45"/>
      <c r="EP19" s="45"/>
      <c r="EQ19" s="45"/>
      <c r="ER19" s="45"/>
      <c r="ES19" s="45"/>
      <c r="ET19" s="45"/>
      <c r="EU19" s="45"/>
      <c r="EV19" s="45"/>
      <c r="EW19" s="45"/>
      <c r="EX19" s="45"/>
      <c r="EY19" s="45"/>
      <c r="EZ19" s="45"/>
      <c r="FA19" s="45"/>
      <c r="FB19" s="45"/>
      <c r="FC19" s="45"/>
      <c r="FD19" s="45"/>
      <c r="FE19" s="45"/>
      <c r="FF19" s="45"/>
      <c r="FG19" s="45"/>
      <c r="FH19" s="45"/>
      <c r="FI19" s="45"/>
      <c r="FJ19" s="45"/>
      <c r="FK19" s="45"/>
      <c r="FL19" s="45"/>
      <c r="FM19" s="45"/>
      <c r="FN19" s="45"/>
      <c r="FO19" s="45"/>
      <c r="FP19" s="45"/>
      <c r="FQ19" s="45"/>
      <c r="FR19" s="45"/>
      <c r="FS19" s="45"/>
      <c r="FT19" s="45"/>
      <c r="FU19" s="45"/>
      <c r="FV19" s="45"/>
      <c r="FW19" s="45"/>
      <c r="FX19" s="45"/>
      <c r="FY19" s="45"/>
      <c r="FZ19" s="45"/>
      <c r="GA19" s="45"/>
      <c r="GB19" s="45"/>
      <c r="GC19" s="45"/>
      <c r="GD19" s="45"/>
      <c r="GE19" s="45"/>
      <c r="GF19" s="45"/>
      <c r="GG19" s="45"/>
      <c r="GH19" s="45"/>
      <c r="GI19" s="45"/>
    </row>
    <row r="20" spans="1:191" s="41" customFormat="1" ht="30" customHeight="1" thickBot="1" x14ac:dyDescent="0.35">
      <c r="A20" s="12"/>
      <c r="B20" s="54"/>
      <c r="C20" s="56"/>
      <c r="D20" s="56"/>
      <c r="E20" s="15"/>
      <c r="F20" s="4" t="str">
        <f t="shared" si="0"/>
        <v/>
      </c>
      <c r="G20" s="45"/>
      <c r="H20" s="45"/>
      <c r="I20" s="45"/>
      <c r="J20" s="45"/>
      <c r="K20" s="45"/>
      <c r="L20" s="45"/>
      <c r="M20" s="45"/>
      <c r="N20" s="45"/>
      <c r="O20" s="45"/>
      <c r="P20" s="45"/>
      <c r="Q20" s="45"/>
      <c r="R20" s="45"/>
      <c r="S20" s="45"/>
      <c r="T20" s="45"/>
      <c r="U20" s="92"/>
      <c r="V20" s="92"/>
      <c r="W20" s="92"/>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c r="DE20" s="45"/>
      <c r="DF20" s="45"/>
      <c r="DG20" s="45"/>
      <c r="DH20" s="45"/>
      <c r="DI20" s="45"/>
      <c r="DJ20" s="45"/>
      <c r="DK20" s="45"/>
      <c r="DL20" s="45"/>
      <c r="DM20" s="45"/>
      <c r="DN20" s="45"/>
      <c r="DO20" s="45"/>
      <c r="DP20" s="45"/>
      <c r="DQ20" s="45"/>
      <c r="DR20" s="45"/>
      <c r="DS20" s="45"/>
      <c r="DT20" s="45"/>
      <c r="DU20" s="45"/>
      <c r="DV20" s="45"/>
      <c r="DW20" s="45"/>
      <c r="DX20" s="45"/>
      <c r="DY20" s="45"/>
      <c r="DZ20" s="45"/>
      <c r="EA20" s="45"/>
      <c r="EB20" s="45"/>
      <c r="EC20" s="45"/>
      <c r="ED20" s="45"/>
      <c r="EE20" s="45"/>
      <c r="EF20" s="45"/>
      <c r="EG20" s="45"/>
      <c r="EH20" s="45"/>
      <c r="EI20" s="45"/>
      <c r="EJ20" s="45"/>
      <c r="EK20" s="45"/>
      <c r="EL20" s="45"/>
      <c r="EM20" s="45"/>
      <c r="EN20" s="45"/>
      <c r="EO20" s="45"/>
      <c r="EP20" s="45"/>
      <c r="EQ20" s="45"/>
      <c r="ER20" s="45"/>
      <c r="ES20" s="45"/>
      <c r="ET20" s="45"/>
      <c r="EU20" s="45"/>
      <c r="EV20" s="45"/>
      <c r="EW20" s="45"/>
      <c r="EX20" s="45"/>
      <c r="EY20" s="45"/>
      <c r="EZ20" s="45"/>
      <c r="FA20" s="45"/>
      <c r="FB20" s="45"/>
      <c r="FC20" s="45"/>
      <c r="FD20" s="45"/>
      <c r="FE20" s="45"/>
      <c r="FF20" s="45"/>
      <c r="FG20" s="45"/>
      <c r="FH20" s="45"/>
      <c r="FI20" s="45"/>
      <c r="FJ20" s="45"/>
      <c r="FK20" s="45"/>
      <c r="FL20" s="45"/>
      <c r="FM20" s="45"/>
      <c r="FN20" s="45"/>
      <c r="FO20" s="45"/>
      <c r="FP20" s="45"/>
      <c r="FQ20" s="45"/>
      <c r="FR20" s="45"/>
      <c r="FS20" s="45"/>
      <c r="FT20" s="45"/>
      <c r="FU20" s="45"/>
      <c r="FV20" s="45"/>
      <c r="FW20" s="45"/>
      <c r="FX20" s="45"/>
      <c r="FY20" s="45"/>
      <c r="FZ20" s="45"/>
      <c r="GA20" s="45"/>
      <c r="GB20" s="45"/>
      <c r="GC20" s="45"/>
      <c r="GD20" s="45"/>
      <c r="GE20" s="45"/>
      <c r="GF20" s="45"/>
      <c r="GG20" s="45"/>
      <c r="GH20" s="45"/>
      <c r="GI20" s="45"/>
    </row>
    <row r="21" spans="1:191" s="41" customFormat="1" ht="30" customHeight="1" thickBot="1" x14ac:dyDescent="0.35">
      <c r="A21" s="12"/>
      <c r="B21" s="57" t="s">
        <v>33</v>
      </c>
      <c r="C21" s="59"/>
      <c r="D21" s="60"/>
      <c r="E21" s="15"/>
      <c r="F21" s="4" t="str">
        <f t="shared" si="0"/>
        <v/>
      </c>
      <c r="G21" s="61"/>
      <c r="H21" s="61"/>
      <c r="I21" s="61"/>
      <c r="J21" s="61"/>
      <c r="K21" s="61"/>
      <c r="L21" s="61"/>
      <c r="M21" s="61"/>
      <c r="N21" s="61"/>
      <c r="O21" s="61"/>
      <c r="P21" s="61"/>
      <c r="Q21" s="61"/>
      <c r="R21" s="61"/>
      <c r="S21" s="61"/>
      <c r="T21" s="61"/>
      <c r="U21" s="93"/>
      <c r="V21" s="93"/>
      <c r="W21" s="93"/>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A21" s="61"/>
      <c r="CB21" s="61"/>
      <c r="CC21" s="61"/>
      <c r="CD21" s="61"/>
      <c r="CE21" s="61"/>
      <c r="CF21" s="61"/>
      <c r="CG21" s="61"/>
      <c r="CH21" s="61"/>
      <c r="CI21" s="61"/>
      <c r="CJ21" s="61"/>
      <c r="CK21" s="61"/>
      <c r="CL21" s="61"/>
      <c r="CM21" s="61"/>
      <c r="CN21" s="61"/>
      <c r="CO21" s="61"/>
      <c r="CP21" s="61"/>
      <c r="CQ21" s="61"/>
      <c r="CR21" s="61"/>
      <c r="CS21" s="61"/>
      <c r="CT21" s="61"/>
      <c r="CU21" s="61"/>
      <c r="CV21" s="61"/>
      <c r="CW21" s="61"/>
      <c r="CX21" s="61"/>
      <c r="CY21" s="61"/>
      <c r="CZ21" s="61"/>
      <c r="DA21" s="61"/>
      <c r="DB21" s="61"/>
      <c r="DC21" s="61"/>
      <c r="DD21" s="61"/>
      <c r="DE21" s="61"/>
      <c r="DF21" s="61"/>
      <c r="DG21" s="61"/>
      <c r="DH21" s="61"/>
      <c r="DI21" s="61"/>
      <c r="DJ21" s="61"/>
      <c r="DK21" s="61"/>
      <c r="DL21" s="61"/>
      <c r="DM21" s="61"/>
      <c r="DN21" s="61"/>
      <c r="DO21" s="61"/>
      <c r="DP21" s="61"/>
      <c r="DQ21" s="61"/>
      <c r="DR21" s="61"/>
      <c r="DS21" s="61"/>
      <c r="DT21" s="61"/>
      <c r="DU21" s="61"/>
      <c r="DV21" s="61"/>
      <c r="DW21" s="61"/>
      <c r="DX21" s="61"/>
      <c r="DY21" s="61"/>
      <c r="DZ21" s="61"/>
      <c r="EA21" s="61"/>
      <c r="EB21" s="61"/>
      <c r="EC21" s="61"/>
      <c r="ED21" s="61"/>
      <c r="EE21" s="61"/>
      <c r="EF21" s="61"/>
      <c r="EG21" s="61"/>
      <c r="EH21" s="61"/>
      <c r="EI21" s="61"/>
      <c r="EJ21" s="61"/>
      <c r="EK21" s="61"/>
      <c r="EL21" s="61"/>
      <c r="EM21" s="61"/>
      <c r="EN21" s="61"/>
      <c r="EO21" s="61"/>
      <c r="EP21" s="61"/>
      <c r="EQ21" s="61"/>
      <c r="ER21" s="61"/>
      <c r="ES21" s="61"/>
      <c r="ET21" s="61"/>
      <c r="EU21" s="61"/>
      <c r="EV21" s="61"/>
      <c r="EW21" s="61"/>
      <c r="EX21" s="61"/>
      <c r="EY21" s="61"/>
      <c r="EZ21" s="61"/>
      <c r="FA21" s="61"/>
      <c r="FB21" s="61"/>
      <c r="FC21" s="61"/>
      <c r="FD21" s="61"/>
      <c r="FE21" s="61"/>
      <c r="FF21" s="61"/>
      <c r="FG21" s="61"/>
      <c r="FH21" s="61"/>
      <c r="FI21" s="61"/>
      <c r="FJ21" s="61"/>
      <c r="FK21" s="61"/>
      <c r="FL21" s="61"/>
      <c r="FM21" s="61"/>
      <c r="FN21" s="61"/>
      <c r="FO21" s="61"/>
      <c r="FP21" s="61"/>
      <c r="FQ21" s="61"/>
      <c r="FR21" s="61"/>
      <c r="FS21" s="61"/>
      <c r="FT21" s="61"/>
      <c r="FU21" s="61"/>
      <c r="FV21" s="61"/>
      <c r="FW21" s="61"/>
      <c r="FX21" s="61"/>
      <c r="FY21" s="61"/>
      <c r="FZ21" s="61"/>
      <c r="GA21" s="61"/>
      <c r="GB21" s="61"/>
      <c r="GC21" s="61"/>
      <c r="GD21" s="61"/>
      <c r="GE21" s="61"/>
      <c r="GF21" s="61"/>
      <c r="GG21" s="61"/>
      <c r="GH21" s="61"/>
      <c r="GI21" s="61"/>
    </row>
    <row r="22" spans="1:191" s="41" customFormat="1" ht="30" customHeight="1" thickBot="1" x14ac:dyDescent="0.35">
      <c r="A22" s="12"/>
      <c r="B22" s="62" t="s">
        <v>34</v>
      </c>
      <c r="C22" s="64" t="s">
        <v>47</v>
      </c>
      <c r="D22" s="64" t="s">
        <v>49</v>
      </c>
      <c r="E22" s="15"/>
      <c r="F22" s="4" t="e">
        <f t="shared" si="0"/>
        <v>#VALUE!</v>
      </c>
      <c r="G22" s="45"/>
      <c r="H22" s="45"/>
      <c r="I22" s="45"/>
      <c r="J22" s="45"/>
      <c r="K22" s="101"/>
      <c r="L22" s="101"/>
      <c r="M22" s="101"/>
      <c r="N22" s="101"/>
      <c r="O22" s="133"/>
      <c r="P22" s="45"/>
      <c r="Q22" s="45"/>
      <c r="R22" s="45"/>
      <c r="S22" s="45"/>
      <c r="T22" s="45"/>
      <c r="U22" s="92"/>
      <c r="V22" s="92"/>
      <c r="W22" s="92"/>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c r="CO22" s="45"/>
      <c r="CP22" s="45"/>
      <c r="CQ22" s="45"/>
      <c r="CR22" s="45"/>
      <c r="CS22" s="45"/>
      <c r="CT22" s="45"/>
      <c r="CU22" s="45"/>
      <c r="CV22" s="45"/>
      <c r="CW22" s="45"/>
      <c r="CX22" s="45"/>
      <c r="CY22" s="45"/>
      <c r="CZ22" s="45"/>
      <c r="DA22" s="45"/>
      <c r="DB22" s="45"/>
      <c r="DC22" s="45"/>
      <c r="DD22" s="45"/>
      <c r="DE22" s="45"/>
      <c r="DF22" s="45"/>
      <c r="DG22" s="45"/>
      <c r="DH22" s="45"/>
      <c r="DI22" s="45"/>
      <c r="DJ22" s="45"/>
      <c r="DK22" s="45"/>
      <c r="DL22" s="45"/>
      <c r="DM22" s="45"/>
      <c r="DN22" s="45"/>
      <c r="DO22" s="45"/>
      <c r="DP22" s="45"/>
      <c r="DQ22" s="45"/>
      <c r="DR22" s="45"/>
      <c r="DS22" s="45"/>
      <c r="DT22" s="45"/>
      <c r="DU22" s="45"/>
      <c r="DV22" s="45"/>
      <c r="DW22" s="45"/>
      <c r="DX22" s="45"/>
      <c r="DY22" s="45"/>
      <c r="DZ22" s="45"/>
      <c r="EA22" s="45"/>
      <c r="EB22" s="45"/>
      <c r="EC22" s="45"/>
      <c r="ED22" s="45"/>
      <c r="EE22" s="45"/>
      <c r="EF22" s="45"/>
      <c r="EG22" s="45"/>
      <c r="EH22" s="45"/>
      <c r="EI22" s="45"/>
      <c r="EJ22" s="45"/>
      <c r="EK22" s="45"/>
      <c r="EL22" s="45"/>
      <c r="EM22" s="45"/>
      <c r="EN22" s="45"/>
      <c r="EO22" s="45"/>
      <c r="EP22" s="45"/>
      <c r="EQ22" s="45"/>
      <c r="ER22" s="45"/>
      <c r="ES22" s="45"/>
      <c r="ET22" s="45"/>
      <c r="EU22" s="45"/>
      <c r="EV22" s="45"/>
      <c r="EW22" s="45"/>
      <c r="EX22" s="45"/>
      <c r="EY22" s="45"/>
      <c r="EZ22" s="45"/>
      <c r="FA22" s="45"/>
      <c r="FB22" s="45"/>
      <c r="FC22" s="45"/>
      <c r="FD22" s="45"/>
      <c r="FE22" s="45"/>
      <c r="FF22" s="45"/>
      <c r="FG22" s="45"/>
      <c r="FH22" s="45"/>
      <c r="FI22" s="45"/>
      <c r="FJ22" s="45"/>
      <c r="FK22" s="45"/>
      <c r="FL22" s="45"/>
      <c r="FM22" s="45"/>
      <c r="FN22" s="45"/>
      <c r="FO22" s="45"/>
      <c r="FP22" s="45"/>
      <c r="FQ22" s="45"/>
      <c r="FR22" s="45"/>
      <c r="FS22" s="45"/>
      <c r="FT22" s="45"/>
      <c r="FU22" s="45"/>
      <c r="FV22" s="45"/>
      <c r="FW22" s="45"/>
      <c r="FX22" s="45"/>
      <c r="FY22" s="45"/>
      <c r="FZ22" s="45"/>
      <c r="GA22" s="45"/>
      <c r="GB22" s="45"/>
      <c r="GC22" s="45"/>
      <c r="GD22" s="45"/>
      <c r="GE22" s="45"/>
      <c r="GF22" s="45"/>
      <c r="GG22" s="45"/>
      <c r="GH22" s="45"/>
      <c r="GI22" s="45"/>
    </row>
    <row r="23" spans="1:191" s="41" customFormat="1" ht="30" customHeight="1" thickBot="1" x14ac:dyDescent="0.35">
      <c r="A23" s="12"/>
      <c r="B23" s="62" t="s">
        <v>38</v>
      </c>
      <c r="C23" s="64" t="s">
        <v>50</v>
      </c>
      <c r="D23" s="64" t="s">
        <v>53</v>
      </c>
      <c r="E23" s="15"/>
      <c r="F23" s="4" t="e">
        <f t="shared" si="0"/>
        <v>#VALUE!</v>
      </c>
      <c r="G23" s="45"/>
      <c r="H23" s="45"/>
      <c r="I23" s="45"/>
      <c r="J23" s="45"/>
      <c r="K23" s="45"/>
      <c r="L23" s="45"/>
      <c r="M23" s="45"/>
      <c r="N23" s="45"/>
      <c r="O23" s="101"/>
      <c r="P23" s="101"/>
      <c r="Q23" s="101"/>
      <c r="R23" s="101"/>
      <c r="S23" s="45"/>
      <c r="T23" s="45"/>
      <c r="U23" s="92"/>
      <c r="V23" s="92"/>
      <c r="W23" s="92"/>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c r="CK23" s="45"/>
      <c r="CL23" s="45"/>
      <c r="CM23" s="45"/>
      <c r="CN23" s="45"/>
      <c r="CO23" s="45"/>
      <c r="CP23" s="45"/>
      <c r="CQ23" s="45"/>
      <c r="CR23" s="45"/>
      <c r="CS23" s="45"/>
      <c r="CT23" s="45"/>
      <c r="CU23" s="45"/>
      <c r="CV23" s="45"/>
      <c r="CW23" s="45"/>
      <c r="CX23" s="45"/>
      <c r="CY23" s="45"/>
      <c r="CZ23" s="45"/>
      <c r="DA23" s="45"/>
      <c r="DB23" s="45"/>
      <c r="DC23" s="45"/>
      <c r="DD23" s="45"/>
      <c r="DE23" s="45"/>
      <c r="DF23" s="45"/>
      <c r="DG23" s="45"/>
      <c r="DH23" s="45"/>
      <c r="DI23" s="45"/>
      <c r="DJ23" s="45"/>
      <c r="DK23" s="45"/>
      <c r="DL23" s="45"/>
      <c r="DM23" s="45"/>
      <c r="DN23" s="45"/>
      <c r="DO23" s="45"/>
      <c r="DP23" s="45"/>
      <c r="DQ23" s="45"/>
      <c r="DR23" s="45"/>
      <c r="DS23" s="45"/>
      <c r="DT23" s="45"/>
      <c r="DU23" s="45"/>
      <c r="DV23" s="45"/>
      <c r="DW23" s="45"/>
      <c r="DX23" s="45"/>
      <c r="DY23" s="45"/>
      <c r="DZ23" s="45"/>
      <c r="EA23" s="45"/>
      <c r="EB23" s="45"/>
      <c r="EC23" s="45"/>
      <c r="ED23" s="45"/>
      <c r="EE23" s="45"/>
      <c r="EF23" s="45"/>
      <c r="EG23" s="45"/>
      <c r="EH23" s="45"/>
      <c r="EI23" s="45"/>
      <c r="EJ23" s="45"/>
      <c r="EK23" s="45"/>
      <c r="EL23" s="45"/>
      <c r="EM23" s="45"/>
      <c r="EN23" s="45"/>
      <c r="EO23" s="45"/>
      <c r="EP23" s="45"/>
      <c r="EQ23" s="45"/>
      <c r="ER23" s="45"/>
      <c r="ES23" s="45"/>
      <c r="ET23" s="45"/>
      <c r="EU23" s="45"/>
      <c r="EV23" s="45"/>
      <c r="EW23" s="45"/>
      <c r="EX23" s="45"/>
      <c r="EY23" s="45"/>
      <c r="EZ23" s="45"/>
      <c r="FA23" s="45"/>
      <c r="FB23" s="45"/>
      <c r="FC23" s="45"/>
      <c r="FD23" s="45"/>
      <c r="FE23" s="45"/>
      <c r="FF23" s="45"/>
      <c r="FG23" s="45"/>
      <c r="FH23" s="45"/>
      <c r="FI23" s="45"/>
      <c r="FJ23" s="45"/>
      <c r="FK23" s="45"/>
      <c r="FL23" s="45"/>
      <c r="FM23" s="45"/>
      <c r="FN23" s="45"/>
      <c r="FO23" s="45"/>
      <c r="FP23" s="45"/>
      <c r="FQ23" s="45"/>
      <c r="FR23" s="45"/>
      <c r="FS23" s="45"/>
      <c r="FT23" s="45"/>
      <c r="FU23" s="45"/>
      <c r="FV23" s="45"/>
      <c r="FW23" s="45"/>
      <c r="FX23" s="45"/>
      <c r="FY23" s="45"/>
      <c r="FZ23" s="45"/>
      <c r="GA23" s="45"/>
      <c r="GB23" s="45"/>
      <c r="GC23" s="45"/>
      <c r="GD23" s="45"/>
      <c r="GE23" s="45"/>
      <c r="GF23" s="45"/>
      <c r="GG23" s="45"/>
      <c r="GH23" s="45"/>
      <c r="GI23" s="45"/>
    </row>
    <row r="24" spans="1:191" s="41" customFormat="1" ht="30" customHeight="1" thickBot="1" x14ac:dyDescent="0.35">
      <c r="A24" s="12"/>
      <c r="B24" s="62" t="s">
        <v>39</v>
      </c>
      <c r="C24" s="64" t="s">
        <v>53</v>
      </c>
      <c r="D24" s="64" t="s">
        <v>68</v>
      </c>
      <c r="E24" s="15"/>
      <c r="F24" s="4" t="e">
        <f t="shared" si="0"/>
        <v>#VALUE!</v>
      </c>
      <c r="G24" s="45"/>
      <c r="H24" s="45"/>
      <c r="I24" s="45"/>
      <c r="J24" s="45"/>
      <c r="K24" s="45"/>
      <c r="L24" s="45"/>
      <c r="M24" s="45"/>
      <c r="N24" s="45"/>
      <c r="O24" s="45"/>
      <c r="P24" s="45"/>
      <c r="Q24" s="45"/>
      <c r="R24" s="101"/>
      <c r="S24" s="101"/>
      <c r="T24" s="101"/>
      <c r="U24" s="101"/>
      <c r="V24" s="101"/>
      <c r="W24" s="101"/>
      <c r="X24" s="101"/>
      <c r="Y24" s="101"/>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45"/>
      <c r="EJ24" s="45"/>
      <c r="EK24" s="45"/>
      <c r="EL24" s="45"/>
      <c r="EM24" s="45"/>
      <c r="EN24" s="45"/>
      <c r="EO24" s="45"/>
      <c r="EP24" s="45"/>
      <c r="EQ24" s="45"/>
      <c r="ER24" s="45"/>
      <c r="ES24" s="45"/>
      <c r="ET24" s="45"/>
      <c r="EU24" s="45"/>
      <c r="EV24" s="45"/>
      <c r="EW24" s="45"/>
      <c r="EX24" s="45"/>
      <c r="EY24" s="45"/>
      <c r="EZ24" s="45"/>
      <c r="FA24" s="45"/>
      <c r="FB24" s="45"/>
      <c r="FC24" s="45"/>
      <c r="FD24" s="45"/>
      <c r="FE24" s="45"/>
      <c r="FF24" s="45"/>
      <c r="FG24" s="45"/>
      <c r="FH24" s="45"/>
      <c r="FI24" s="45"/>
      <c r="FJ24" s="45"/>
      <c r="FK24" s="45"/>
      <c r="FL24" s="45"/>
      <c r="FM24" s="45"/>
      <c r="FN24" s="45"/>
      <c r="FO24" s="45"/>
      <c r="FP24" s="45"/>
      <c r="FQ24" s="45"/>
      <c r="FR24" s="45"/>
      <c r="FS24" s="45"/>
      <c r="FT24" s="45"/>
      <c r="FU24" s="45"/>
      <c r="FV24" s="45"/>
      <c r="FW24" s="45"/>
      <c r="FX24" s="45"/>
      <c r="FY24" s="45"/>
      <c r="FZ24" s="45"/>
      <c r="GA24" s="45"/>
      <c r="GB24" s="45"/>
      <c r="GC24" s="45"/>
      <c r="GD24" s="45"/>
      <c r="GE24" s="45"/>
      <c r="GF24" s="45"/>
      <c r="GG24" s="45"/>
      <c r="GH24" s="45"/>
      <c r="GI24" s="45"/>
    </row>
    <row r="25" spans="1:191" s="41" customFormat="1" ht="30" customHeight="1" thickBot="1" x14ac:dyDescent="0.35">
      <c r="A25" s="12"/>
      <c r="B25" s="62" t="s">
        <v>43</v>
      </c>
      <c r="C25" s="64" t="s">
        <v>45</v>
      </c>
      <c r="D25" s="64" t="s">
        <v>47</v>
      </c>
      <c r="E25" s="15"/>
      <c r="F25" s="4" t="e">
        <f t="shared" si="0"/>
        <v>#VALUE!</v>
      </c>
      <c r="G25" s="45"/>
      <c r="H25" s="45"/>
      <c r="I25" s="45"/>
      <c r="J25" s="45"/>
      <c r="K25" s="45"/>
      <c r="L25" s="45"/>
      <c r="M25" s="45"/>
      <c r="N25" s="45"/>
      <c r="O25" s="45"/>
      <c r="P25" s="45"/>
      <c r="Q25" s="45"/>
      <c r="R25" s="45"/>
      <c r="S25" s="45"/>
      <c r="T25" s="45"/>
      <c r="U25" s="92"/>
      <c r="V25" s="92"/>
      <c r="W25" s="92"/>
      <c r="X25" s="45"/>
      <c r="Y25" s="101"/>
      <c r="Z25" s="101"/>
      <c r="AA25" s="101"/>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c r="CO25" s="45"/>
      <c r="CP25" s="45"/>
      <c r="CQ25" s="45"/>
      <c r="CR25" s="45"/>
      <c r="CS25" s="45"/>
      <c r="CT25" s="45"/>
      <c r="CU25" s="45"/>
      <c r="CV25" s="45"/>
      <c r="CW25" s="45"/>
      <c r="CX25" s="45"/>
      <c r="CY25" s="45"/>
      <c r="CZ25" s="45"/>
      <c r="DA25" s="45"/>
      <c r="DB25" s="45"/>
      <c r="DC25" s="45"/>
      <c r="DD25" s="45"/>
      <c r="DE25" s="45"/>
      <c r="DF25" s="45"/>
      <c r="DG25" s="45"/>
      <c r="DH25" s="45"/>
      <c r="DI25" s="45"/>
      <c r="DJ25" s="45"/>
      <c r="DK25" s="45"/>
      <c r="DL25" s="45"/>
      <c r="DM25" s="45"/>
      <c r="DN25" s="45"/>
      <c r="DO25" s="45"/>
      <c r="DP25" s="45"/>
      <c r="DQ25" s="45"/>
      <c r="DR25" s="45"/>
      <c r="DS25" s="45"/>
      <c r="DT25" s="45"/>
      <c r="DU25" s="45"/>
      <c r="DV25" s="45"/>
      <c r="DW25" s="45"/>
      <c r="DX25" s="45"/>
      <c r="DY25" s="45"/>
      <c r="DZ25" s="45"/>
      <c r="EA25" s="45"/>
      <c r="EB25" s="45"/>
      <c r="EC25" s="45"/>
      <c r="ED25" s="45"/>
      <c r="EE25" s="45"/>
      <c r="EF25" s="45"/>
      <c r="EG25" s="45"/>
      <c r="EH25" s="45"/>
      <c r="EI25" s="45"/>
      <c r="EJ25" s="45"/>
      <c r="EK25" s="45"/>
      <c r="EL25" s="45"/>
      <c r="EM25" s="45"/>
      <c r="EN25" s="45"/>
      <c r="EO25" s="45"/>
      <c r="EP25" s="45"/>
      <c r="EQ25" s="45"/>
      <c r="ER25" s="45"/>
      <c r="ES25" s="45"/>
      <c r="ET25" s="45"/>
      <c r="EU25" s="45"/>
      <c r="EV25" s="45"/>
      <c r="EW25" s="45"/>
      <c r="EX25" s="45"/>
      <c r="EY25" s="45"/>
      <c r="EZ25" s="45"/>
      <c r="FA25" s="45"/>
      <c r="FB25" s="45"/>
      <c r="FC25" s="45"/>
      <c r="FD25" s="45"/>
      <c r="FE25" s="45"/>
      <c r="FF25" s="45"/>
      <c r="FG25" s="45"/>
      <c r="FH25" s="45"/>
      <c r="FI25" s="45"/>
      <c r="FJ25" s="45"/>
      <c r="FK25" s="45"/>
      <c r="FL25" s="45"/>
      <c r="FM25" s="45"/>
      <c r="FN25" s="45"/>
      <c r="FO25" s="45"/>
      <c r="FP25" s="45"/>
      <c r="FQ25" s="45"/>
      <c r="FR25" s="45"/>
      <c r="FS25" s="45"/>
      <c r="FT25" s="45"/>
      <c r="FU25" s="45"/>
      <c r="FV25" s="45"/>
      <c r="FW25" s="45"/>
      <c r="FX25" s="45"/>
      <c r="FY25" s="45"/>
      <c r="FZ25" s="45"/>
      <c r="GA25" s="45"/>
      <c r="GB25" s="45"/>
      <c r="GC25" s="45"/>
      <c r="GD25" s="45"/>
      <c r="GE25" s="45"/>
      <c r="GF25" s="45"/>
      <c r="GG25" s="45"/>
      <c r="GH25" s="45"/>
      <c r="GI25" s="45"/>
    </row>
    <row r="26" spans="1:191" s="41" customFormat="1" ht="30" customHeight="1" thickBot="1" x14ac:dyDescent="0.35">
      <c r="A26" s="12"/>
      <c r="B26" s="62"/>
      <c r="C26" s="64"/>
      <c r="D26" s="64"/>
      <c r="E26" s="15"/>
      <c r="F26" s="4" t="str">
        <f t="shared" si="0"/>
        <v/>
      </c>
      <c r="G26" s="45"/>
      <c r="H26" s="45"/>
      <c r="I26" s="45"/>
      <c r="J26" s="45"/>
      <c r="K26" s="45"/>
      <c r="L26" s="45"/>
      <c r="M26" s="45"/>
      <c r="N26" s="45"/>
      <c r="O26" s="45"/>
      <c r="P26" s="45"/>
      <c r="Q26" s="45"/>
      <c r="R26" s="45"/>
      <c r="S26" s="45"/>
      <c r="T26" s="45"/>
      <c r="U26" s="92"/>
      <c r="V26" s="92"/>
      <c r="W26" s="92"/>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M26" s="45"/>
      <c r="CN26" s="45"/>
      <c r="CO26" s="45"/>
      <c r="CP26" s="45"/>
      <c r="CQ26" s="45"/>
      <c r="CR26" s="45"/>
      <c r="CS26" s="45"/>
      <c r="CT26" s="45"/>
      <c r="CU26" s="45"/>
      <c r="CV26" s="45"/>
      <c r="CW26" s="45"/>
      <c r="CX26" s="45"/>
      <c r="CY26" s="45"/>
      <c r="CZ26" s="45"/>
      <c r="DA26" s="45"/>
      <c r="DB26" s="45"/>
      <c r="DC26" s="45"/>
      <c r="DD26" s="45"/>
      <c r="DE26" s="45"/>
      <c r="DF26" s="45"/>
      <c r="DG26" s="45"/>
      <c r="DH26" s="45"/>
      <c r="DI26" s="45"/>
      <c r="DJ26" s="45"/>
      <c r="DK26" s="45"/>
      <c r="DL26" s="45"/>
      <c r="DM26" s="45"/>
      <c r="DN26" s="45"/>
      <c r="DO26" s="45"/>
      <c r="DP26" s="45"/>
      <c r="DQ26" s="45"/>
      <c r="DR26" s="45"/>
      <c r="DS26" s="45"/>
      <c r="DT26" s="45"/>
      <c r="DU26" s="45"/>
      <c r="DV26" s="45"/>
      <c r="DW26" s="45"/>
      <c r="DX26" s="45"/>
      <c r="DY26" s="45"/>
      <c r="DZ26" s="45"/>
      <c r="EA26" s="45"/>
      <c r="EB26" s="45"/>
      <c r="EC26" s="45"/>
      <c r="ED26" s="45"/>
      <c r="EE26" s="45"/>
      <c r="EF26" s="45"/>
      <c r="EG26" s="45"/>
      <c r="EH26" s="45"/>
      <c r="EI26" s="45"/>
      <c r="EJ26" s="45"/>
      <c r="EK26" s="45"/>
      <c r="EL26" s="45"/>
      <c r="EM26" s="45"/>
      <c r="EN26" s="45"/>
      <c r="EO26" s="45"/>
      <c r="EP26" s="45"/>
      <c r="EQ26" s="45"/>
      <c r="ER26" s="45"/>
      <c r="ES26" s="45"/>
      <c r="ET26" s="45"/>
      <c r="EU26" s="45"/>
      <c r="EV26" s="45"/>
      <c r="EW26" s="45"/>
      <c r="EX26" s="45"/>
      <c r="EY26" s="45"/>
      <c r="EZ26" s="45"/>
      <c r="FA26" s="45"/>
      <c r="FB26" s="45"/>
      <c r="FC26" s="45"/>
      <c r="FD26" s="45"/>
      <c r="FE26" s="45"/>
      <c r="FF26" s="45"/>
      <c r="FG26" s="45"/>
      <c r="FH26" s="45"/>
      <c r="FI26" s="45"/>
      <c r="FJ26" s="45"/>
      <c r="FK26" s="45"/>
      <c r="FL26" s="45"/>
      <c r="FM26" s="45"/>
      <c r="FN26" s="45"/>
      <c r="FO26" s="45"/>
      <c r="FP26" s="45"/>
      <c r="FQ26" s="45"/>
      <c r="FR26" s="45"/>
      <c r="FS26" s="45"/>
      <c r="FT26" s="45"/>
      <c r="FU26" s="45"/>
      <c r="FV26" s="45"/>
      <c r="FW26" s="45"/>
      <c r="FX26" s="45"/>
      <c r="FY26" s="45"/>
      <c r="FZ26" s="45"/>
      <c r="GA26" s="45"/>
      <c r="GB26" s="45"/>
      <c r="GC26" s="45"/>
      <c r="GD26" s="45"/>
      <c r="GE26" s="45"/>
      <c r="GF26" s="45"/>
      <c r="GG26" s="45"/>
      <c r="GH26" s="45"/>
      <c r="GI26" s="45"/>
    </row>
    <row r="27" spans="1:191" s="41" customFormat="1" ht="30" customHeight="1" thickBot="1" x14ac:dyDescent="0.35">
      <c r="A27" s="12"/>
      <c r="B27" s="65" t="s">
        <v>35</v>
      </c>
      <c r="C27" s="67"/>
      <c r="D27" s="68"/>
      <c r="E27" s="15"/>
      <c r="F27" s="4" t="str">
        <f t="shared" si="0"/>
        <v/>
      </c>
      <c r="G27" s="69"/>
      <c r="H27" s="69"/>
      <c r="I27" s="69"/>
      <c r="J27" s="69"/>
      <c r="K27" s="69"/>
      <c r="L27" s="69"/>
      <c r="M27" s="69"/>
      <c r="N27" s="69"/>
      <c r="O27" s="69"/>
      <c r="P27" s="69"/>
      <c r="Q27" s="69"/>
      <c r="R27" s="69"/>
      <c r="S27" s="69"/>
      <c r="T27" s="69"/>
      <c r="U27" s="94"/>
      <c r="V27" s="94"/>
      <c r="W27" s="94"/>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c r="CC27" s="69"/>
      <c r="CD27" s="69"/>
      <c r="CE27" s="69"/>
      <c r="CF27" s="69"/>
      <c r="CG27" s="69"/>
      <c r="CH27" s="69"/>
      <c r="CI27" s="69"/>
      <c r="CJ27" s="69"/>
      <c r="CK27" s="69"/>
      <c r="CL27" s="69"/>
      <c r="CM27" s="69"/>
      <c r="CN27" s="69"/>
      <c r="CO27" s="69"/>
      <c r="CP27" s="69"/>
      <c r="CQ27" s="69"/>
      <c r="CR27" s="69"/>
      <c r="CS27" s="69"/>
      <c r="CT27" s="69"/>
      <c r="CU27" s="69"/>
      <c r="CV27" s="69"/>
      <c r="CW27" s="69"/>
      <c r="CX27" s="69"/>
      <c r="CY27" s="69"/>
      <c r="CZ27" s="69"/>
      <c r="DA27" s="69"/>
      <c r="DB27" s="69"/>
      <c r="DC27" s="69"/>
      <c r="DD27" s="69"/>
      <c r="DE27" s="69"/>
      <c r="DF27" s="69"/>
      <c r="DG27" s="69"/>
      <c r="DH27" s="69"/>
      <c r="DI27" s="69"/>
      <c r="DJ27" s="69"/>
      <c r="DK27" s="69"/>
      <c r="DL27" s="69"/>
      <c r="DM27" s="69"/>
      <c r="DN27" s="69"/>
      <c r="DO27" s="69"/>
      <c r="DP27" s="69"/>
      <c r="DQ27" s="69"/>
      <c r="DR27" s="69"/>
      <c r="DS27" s="69"/>
      <c r="DT27" s="69"/>
      <c r="DU27" s="69"/>
      <c r="DV27" s="69"/>
      <c r="DW27" s="69"/>
      <c r="DX27" s="69"/>
      <c r="DY27" s="69"/>
      <c r="DZ27" s="69"/>
      <c r="EA27" s="69"/>
      <c r="EB27" s="69"/>
      <c r="EC27" s="69"/>
      <c r="ED27" s="69"/>
      <c r="EE27" s="69"/>
      <c r="EF27" s="69"/>
      <c r="EG27" s="69"/>
      <c r="EH27" s="69"/>
      <c r="EI27" s="69"/>
      <c r="EJ27" s="69"/>
      <c r="EK27" s="69"/>
      <c r="EL27" s="69"/>
      <c r="EM27" s="69"/>
      <c r="EN27" s="69"/>
      <c r="EO27" s="69"/>
      <c r="EP27" s="69"/>
      <c r="EQ27" s="69"/>
      <c r="ER27" s="69"/>
      <c r="ES27" s="69"/>
      <c r="ET27" s="69"/>
      <c r="EU27" s="69"/>
      <c r="EV27" s="69"/>
      <c r="EW27" s="69"/>
      <c r="EX27" s="69"/>
      <c r="EY27" s="69"/>
      <c r="EZ27" s="69"/>
      <c r="FA27" s="69"/>
      <c r="FB27" s="69"/>
      <c r="FC27" s="69"/>
      <c r="FD27" s="69"/>
      <c r="FE27" s="69"/>
      <c r="FF27" s="69"/>
      <c r="FG27" s="69"/>
      <c r="FH27" s="69"/>
      <c r="FI27" s="69"/>
      <c r="FJ27" s="69"/>
      <c r="FK27" s="69"/>
      <c r="FL27" s="69"/>
      <c r="FM27" s="69"/>
      <c r="FN27" s="69"/>
      <c r="FO27" s="69"/>
      <c r="FP27" s="69"/>
      <c r="FQ27" s="69"/>
      <c r="FR27" s="69"/>
      <c r="FS27" s="69"/>
      <c r="FT27" s="69"/>
      <c r="FU27" s="69"/>
      <c r="FV27" s="69"/>
      <c r="FW27" s="69"/>
      <c r="FX27" s="69"/>
      <c r="FY27" s="69"/>
      <c r="FZ27" s="69"/>
      <c r="GA27" s="69"/>
      <c r="GB27" s="69"/>
      <c r="GC27" s="69"/>
      <c r="GD27" s="69"/>
      <c r="GE27" s="69"/>
      <c r="GF27" s="69"/>
      <c r="GG27" s="69"/>
      <c r="GH27" s="69"/>
      <c r="GI27" s="69"/>
    </row>
    <row r="28" spans="1:191" s="41" customFormat="1" ht="30" customHeight="1" thickBot="1" x14ac:dyDescent="0.35">
      <c r="A28" s="12"/>
      <c r="B28" s="70" t="s">
        <v>36</v>
      </c>
      <c r="C28" s="72" t="s">
        <v>69</v>
      </c>
      <c r="D28" s="72" t="s">
        <v>48</v>
      </c>
      <c r="E28" s="15"/>
      <c r="F28" s="4" t="e">
        <f t="shared" si="0"/>
        <v>#VALUE!</v>
      </c>
      <c r="G28" s="45"/>
      <c r="H28" s="45"/>
      <c r="I28" s="45"/>
      <c r="J28" s="45"/>
      <c r="K28" s="45"/>
      <c r="L28" s="45"/>
      <c r="M28" s="45"/>
      <c r="N28" s="45"/>
      <c r="O28" s="45"/>
      <c r="P28" s="45"/>
      <c r="Q28" s="45"/>
      <c r="R28" s="45"/>
      <c r="S28" s="45"/>
      <c r="T28" s="45"/>
      <c r="U28" s="92"/>
      <c r="V28" s="92"/>
      <c r="W28" s="92"/>
      <c r="X28" s="45"/>
      <c r="Y28" s="72"/>
      <c r="Z28" s="72"/>
      <c r="AA28" s="72"/>
      <c r="AB28" s="72"/>
      <c r="AC28" s="72"/>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c r="CK28" s="45"/>
      <c r="CL28" s="45"/>
      <c r="CM28" s="45"/>
      <c r="CN28" s="45"/>
      <c r="CO28" s="45"/>
      <c r="CP28" s="45"/>
      <c r="CQ28" s="45"/>
      <c r="CR28" s="45"/>
      <c r="CS28" s="45"/>
      <c r="CT28" s="45"/>
      <c r="CU28" s="45"/>
      <c r="CV28" s="45"/>
      <c r="CW28" s="45"/>
      <c r="CX28" s="45"/>
      <c r="CY28" s="45"/>
      <c r="CZ28" s="45"/>
      <c r="DA28" s="45"/>
      <c r="DB28" s="45"/>
      <c r="DC28" s="45"/>
      <c r="DD28" s="45"/>
      <c r="DE28" s="45"/>
      <c r="DF28" s="45"/>
      <c r="DG28" s="45"/>
      <c r="DH28" s="45"/>
      <c r="DI28" s="45"/>
      <c r="DJ28" s="45"/>
      <c r="DK28" s="45"/>
      <c r="DL28" s="45"/>
      <c r="DM28" s="45"/>
      <c r="DN28" s="45"/>
      <c r="DO28" s="45"/>
      <c r="DP28" s="45"/>
      <c r="DQ28" s="45"/>
      <c r="DR28" s="45"/>
      <c r="DS28" s="45"/>
      <c r="DT28" s="45"/>
      <c r="DU28" s="45"/>
      <c r="DV28" s="45"/>
      <c r="DW28" s="45"/>
      <c r="DX28" s="45"/>
      <c r="DY28" s="45"/>
      <c r="DZ28" s="45"/>
      <c r="EA28" s="45"/>
      <c r="EB28" s="45"/>
      <c r="EC28" s="45"/>
      <c r="ED28" s="45"/>
      <c r="EE28" s="45"/>
      <c r="EF28" s="45"/>
      <c r="EG28" s="45"/>
      <c r="EH28" s="45"/>
      <c r="EI28" s="45"/>
      <c r="EJ28" s="45"/>
      <c r="EK28" s="45"/>
      <c r="EL28" s="45"/>
      <c r="EM28" s="45"/>
      <c r="EN28" s="45"/>
      <c r="EO28" s="45"/>
      <c r="EP28" s="45"/>
      <c r="EQ28" s="45"/>
      <c r="ER28" s="45"/>
      <c r="ES28" s="45"/>
      <c r="ET28" s="45"/>
      <c r="EU28" s="45"/>
      <c r="EV28" s="45"/>
      <c r="EW28" s="45"/>
      <c r="EX28" s="45"/>
      <c r="EY28" s="45"/>
      <c r="EZ28" s="45"/>
      <c r="FA28" s="45"/>
      <c r="FB28" s="45"/>
      <c r="FC28" s="45"/>
      <c r="FD28" s="45"/>
      <c r="FE28" s="45"/>
      <c r="FF28" s="45"/>
      <c r="FG28" s="45"/>
      <c r="FH28" s="45"/>
      <c r="FI28" s="45"/>
      <c r="FJ28" s="45"/>
      <c r="FK28" s="45"/>
      <c r="FL28" s="45"/>
      <c r="FM28" s="45"/>
      <c r="FN28" s="45"/>
      <c r="FO28" s="45"/>
      <c r="FP28" s="45"/>
      <c r="FQ28" s="45"/>
      <c r="FR28" s="45"/>
      <c r="FS28" s="45"/>
      <c r="FT28" s="45"/>
      <c r="FU28" s="45"/>
      <c r="FV28" s="45"/>
      <c r="FW28" s="45"/>
      <c r="FX28" s="45"/>
      <c r="FY28" s="45"/>
      <c r="FZ28" s="45"/>
      <c r="GA28" s="45"/>
      <c r="GB28" s="45"/>
      <c r="GC28" s="45"/>
      <c r="GD28" s="45"/>
      <c r="GE28" s="45"/>
      <c r="GF28" s="45"/>
      <c r="GG28" s="45"/>
      <c r="GH28" s="45"/>
      <c r="GI28" s="45"/>
    </row>
    <row r="29" spans="1:191" s="41" customFormat="1" ht="30" customHeight="1" thickBot="1" x14ac:dyDescent="0.35">
      <c r="A29" s="12"/>
      <c r="B29" s="70" t="s">
        <v>40</v>
      </c>
      <c r="C29" s="72" t="s">
        <v>49</v>
      </c>
      <c r="D29" s="72" t="s">
        <v>50</v>
      </c>
      <c r="E29" s="15"/>
      <c r="F29" s="4" t="e">
        <f t="shared" si="0"/>
        <v>#VALUE!</v>
      </c>
      <c r="G29" s="45"/>
      <c r="H29" s="45"/>
      <c r="I29" s="45"/>
      <c r="J29" s="45"/>
      <c r="K29" s="45"/>
      <c r="L29" s="45"/>
      <c r="M29" s="45"/>
      <c r="N29" s="45"/>
      <c r="O29" s="45"/>
      <c r="P29" s="45"/>
      <c r="Q29" s="45"/>
      <c r="R29" s="45"/>
      <c r="S29" s="45"/>
      <c r="T29" s="45"/>
      <c r="U29" s="92"/>
      <c r="V29" s="92"/>
      <c r="W29" s="92"/>
      <c r="X29" s="45"/>
      <c r="Y29" s="45"/>
      <c r="Z29" s="45"/>
      <c r="AC29" s="72"/>
      <c r="AD29" s="72"/>
      <c r="AE29" s="72"/>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c r="CH29" s="45"/>
      <c r="CI29" s="45"/>
      <c r="CJ29" s="45"/>
      <c r="CK29" s="45"/>
      <c r="CL29" s="45"/>
      <c r="CM29" s="45"/>
      <c r="CN29" s="45"/>
      <c r="CO29" s="45"/>
      <c r="CP29" s="45"/>
      <c r="CQ29" s="45"/>
      <c r="CR29" s="45"/>
      <c r="CS29" s="45"/>
      <c r="CT29" s="45"/>
      <c r="CU29" s="45"/>
      <c r="CV29" s="45"/>
      <c r="CW29" s="45"/>
      <c r="CX29" s="45"/>
      <c r="CY29" s="45"/>
      <c r="CZ29" s="45"/>
      <c r="DA29" s="45"/>
      <c r="DB29" s="45"/>
      <c r="DC29" s="45"/>
      <c r="DD29" s="45"/>
      <c r="DE29" s="45"/>
      <c r="DF29" s="45"/>
      <c r="DG29" s="45"/>
      <c r="DH29" s="45"/>
      <c r="DI29" s="45"/>
      <c r="DJ29" s="45"/>
      <c r="DK29" s="45"/>
      <c r="DL29" s="45"/>
      <c r="DM29" s="45"/>
      <c r="DN29" s="45"/>
      <c r="DO29" s="45"/>
      <c r="DP29" s="45"/>
      <c r="DQ29" s="45"/>
      <c r="DR29" s="45"/>
      <c r="DS29" s="45"/>
      <c r="DT29" s="45"/>
      <c r="DU29" s="45"/>
      <c r="DV29" s="45"/>
      <c r="DW29" s="45"/>
      <c r="DX29" s="45"/>
      <c r="DY29" s="45"/>
      <c r="DZ29" s="45"/>
      <c r="EA29" s="45"/>
      <c r="EB29" s="45"/>
      <c r="EC29" s="45"/>
      <c r="ED29" s="45"/>
      <c r="EE29" s="45"/>
      <c r="EF29" s="45"/>
      <c r="EG29" s="45"/>
      <c r="EH29" s="45"/>
      <c r="EI29" s="45"/>
      <c r="EJ29" s="45"/>
      <c r="EK29" s="45"/>
      <c r="EL29" s="45"/>
      <c r="EM29" s="45"/>
      <c r="EN29" s="45"/>
      <c r="EO29" s="45"/>
      <c r="EP29" s="45"/>
      <c r="EQ29" s="45"/>
      <c r="ER29" s="45"/>
      <c r="ES29" s="45"/>
      <c r="ET29" s="45"/>
      <c r="EU29" s="45"/>
      <c r="EV29" s="45"/>
      <c r="EW29" s="45"/>
      <c r="EX29" s="45"/>
      <c r="EY29" s="45"/>
      <c r="EZ29" s="45"/>
      <c r="FA29" s="45"/>
      <c r="FB29" s="45"/>
      <c r="FC29" s="45"/>
      <c r="FD29" s="45"/>
      <c r="FE29" s="45"/>
      <c r="FF29" s="45"/>
      <c r="FG29" s="45"/>
      <c r="FH29" s="45"/>
      <c r="FI29" s="45"/>
      <c r="FJ29" s="45"/>
      <c r="FK29" s="45"/>
      <c r="FL29" s="45"/>
      <c r="FM29" s="45"/>
      <c r="FN29" s="45"/>
      <c r="FO29" s="45"/>
      <c r="FP29" s="45"/>
      <c r="FQ29" s="45"/>
      <c r="FR29" s="45"/>
      <c r="FS29" s="45"/>
      <c r="FT29" s="45"/>
      <c r="FU29" s="45"/>
      <c r="FV29" s="45"/>
      <c r="FW29" s="45"/>
      <c r="FX29" s="45"/>
      <c r="FY29" s="45"/>
      <c r="FZ29" s="45"/>
      <c r="GA29" s="45"/>
      <c r="GB29" s="45"/>
      <c r="GC29" s="45"/>
      <c r="GD29" s="45"/>
      <c r="GE29" s="45"/>
      <c r="GF29" s="45"/>
      <c r="GG29" s="45"/>
      <c r="GH29" s="45"/>
      <c r="GI29" s="45"/>
    </row>
    <row r="30" spans="1:191" s="41" customFormat="1" ht="30" customHeight="1" thickBot="1" x14ac:dyDescent="0.35">
      <c r="A30" s="12"/>
      <c r="B30" s="70" t="s">
        <v>41</v>
      </c>
      <c r="C30" s="72" t="s">
        <v>50</v>
      </c>
      <c r="D30" s="72" t="s">
        <v>53</v>
      </c>
      <c r="E30" s="15"/>
      <c r="F30" s="4" t="e">
        <f t="shared" si="0"/>
        <v>#VALUE!</v>
      </c>
      <c r="G30" s="45"/>
      <c r="H30" s="45"/>
      <c r="I30" s="45"/>
      <c r="J30" s="45"/>
      <c r="K30" s="45"/>
      <c r="L30" s="45"/>
      <c r="M30" s="45"/>
      <c r="N30" s="45"/>
      <c r="O30" s="45"/>
      <c r="P30" s="45"/>
      <c r="Q30" s="45"/>
      <c r="R30" s="45"/>
      <c r="S30" s="45"/>
      <c r="T30" s="45"/>
      <c r="U30" s="92"/>
      <c r="V30" s="92"/>
      <c r="W30" s="92"/>
      <c r="X30" s="45"/>
      <c r="Y30" s="45"/>
      <c r="Z30" s="45"/>
      <c r="AA30" s="45"/>
      <c r="AB30" s="45"/>
      <c r="AC30" s="45"/>
      <c r="AE30" s="72"/>
      <c r="AF30" s="72"/>
      <c r="AG30" s="72"/>
      <c r="AH30" s="72"/>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c r="CL30" s="45"/>
      <c r="CM30" s="45"/>
      <c r="CN30" s="45"/>
      <c r="CO30" s="45"/>
      <c r="CP30" s="45"/>
      <c r="CQ30" s="45"/>
      <c r="CR30" s="45"/>
      <c r="CS30" s="45"/>
      <c r="CT30" s="45"/>
      <c r="CU30" s="45"/>
      <c r="CV30" s="45"/>
      <c r="CW30" s="45"/>
      <c r="CX30" s="45"/>
      <c r="CY30" s="45"/>
      <c r="CZ30" s="45"/>
      <c r="DA30" s="45"/>
      <c r="DB30" s="45"/>
      <c r="DC30" s="45"/>
      <c r="DD30" s="45"/>
      <c r="DE30" s="45"/>
      <c r="DF30" s="45"/>
      <c r="DG30" s="45"/>
      <c r="DH30" s="45"/>
      <c r="DI30" s="45"/>
      <c r="DJ30" s="45"/>
      <c r="DK30" s="45"/>
      <c r="DL30" s="45"/>
      <c r="DM30" s="45"/>
      <c r="DN30" s="45"/>
      <c r="DO30" s="45"/>
      <c r="DP30" s="45"/>
      <c r="DQ30" s="45"/>
      <c r="DR30" s="45"/>
      <c r="DS30" s="45"/>
      <c r="DT30" s="45"/>
      <c r="DU30" s="45"/>
      <c r="DV30" s="45"/>
      <c r="DW30" s="45"/>
      <c r="DX30" s="45"/>
      <c r="DY30" s="45"/>
      <c r="DZ30" s="45"/>
      <c r="EA30" s="45"/>
      <c r="EB30" s="45"/>
      <c r="EC30" s="45"/>
      <c r="ED30" s="45"/>
      <c r="EE30" s="45"/>
      <c r="EF30" s="45"/>
      <c r="EG30" s="45"/>
      <c r="EH30" s="45"/>
      <c r="EI30" s="45"/>
      <c r="EJ30" s="45"/>
      <c r="EK30" s="45"/>
      <c r="EL30" s="45"/>
      <c r="EM30" s="45"/>
      <c r="EN30" s="45"/>
      <c r="EO30" s="45"/>
      <c r="EP30" s="45"/>
      <c r="EQ30" s="45"/>
      <c r="ER30" s="45"/>
      <c r="ES30" s="45"/>
      <c r="ET30" s="45"/>
      <c r="EU30" s="45"/>
      <c r="EV30" s="45"/>
      <c r="EW30" s="45"/>
      <c r="EX30" s="45"/>
      <c r="EY30" s="45"/>
      <c r="EZ30" s="45"/>
      <c r="FA30" s="45"/>
      <c r="FB30" s="45"/>
      <c r="FC30" s="45"/>
      <c r="FD30" s="45"/>
      <c r="FE30" s="45"/>
      <c r="FF30" s="45"/>
      <c r="FG30" s="45"/>
      <c r="FH30" s="45"/>
      <c r="FI30" s="45"/>
      <c r="FJ30" s="45"/>
      <c r="FK30" s="45"/>
      <c r="FL30" s="45"/>
      <c r="FM30" s="45"/>
      <c r="FN30" s="45"/>
      <c r="FO30" s="45"/>
      <c r="FP30" s="45"/>
      <c r="FQ30" s="45"/>
      <c r="FR30" s="45"/>
      <c r="FS30" s="45"/>
      <c r="FT30" s="45"/>
      <c r="FU30" s="45"/>
      <c r="FV30" s="45"/>
      <c r="FW30" s="45"/>
      <c r="FX30" s="45"/>
      <c r="FY30" s="45"/>
      <c r="FZ30" s="45"/>
      <c r="GA30" s="45"/>
      <c r="GB30" s="45"/>
      <c r="GC30" s="45"/>
      <c r="GD30" s="45"/>
      <c r="GE30" s="45"/>
      <c r="GF30" s="45"/>
      <c r="GG30" s="45"/>
      <c r="GH30" s="45"/>
      <c r="GI30" s="45"/>
    </row>
    <row r="31" spans="1:191" s="41" customFormat="1" ht="30" customHeight="1" thickBot="1" x14ac:dyDescent="0.35">
      <c r="A31" s="12"/>
      <c r="B31" s="70" t="s">
        <v>37</v>
      </c>
      <c r="C31" s="72" t="s">
        <v>52</v>
      </c>
      <c r="D31" s="72" t="s">
        <v>55</v>
      </c>
      <c r="E31" s="15"/>
      <c r="F31" s="4" t="e">
        <f t="shared" si="0"/>
        <v>#VALUE!</v>
      </c>
      <c r="G31" s="45"/>
      <c r="H31" s="45"/>
      <c r="I31" s="45"/>
      <c r="J31" s="45"/>
      <c r="K31" s="45"/>
      <c r="L31" s="45"/>
      <c r="M31" s="45"/>
      <c r="N31" s="45"/>
      <c r="O31" s="45"/>
      <c r="P31" s="45"/>
      <c r="Q31" s="45"/>
      <c r="R31" s="45"/>
      <c r="S31" s="45"/>
      <c r="T31" s="45"/>
      <c r="U31" s="92"/>
      <c r="V31" s="92"/>
      <c r="W31" s="92"/>
      <c r="X31" s="45"/>
      <c r="Y31" s="45"/>
      <c r="Z31" s="45"/>
      <c r="AA31" s="45"/>
      <c r="AB31" s="45"/>
      <c r="AC31" s="45"/>
      <c r="AD31" s="45"/>
      <c r="AE31" s="45"/>
      <c r="AF31" s="45"/>
      <c r="AG31" s="45"/>
      <c r="AH31" s="72"/>
      <c r="AI31" s="72"/>
      <c r="AJ31" s="72"/>
      <c r="AK31" s="72"/>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5"/>
      <c r="CM31" s="45"/>
      <c r="CN31" s="45"/>
      <c r="CO31" s="45"/>
      <c r="CP31" s="45"/>
      <c r="CQ31" s="45"/>
      <c r="CR31" s="45"/>
      <c r="CS31" s="45"/>
      <c r="CT31" s="45"/>
      <c r="CU31" s="45"/>
      <c r="CV31" s="45"/>
      <c r="CW31" s="45"/>
      <c r="CX31" s="45"/>
      <c r="CY31" s="45"/>
      <c r="CZ31" s="45"/>
      <c r="DA31" s="45"/>
      <c r="DB31" s="45"/>
      <c r="DC31" s="45"/>
      <c r="DD31" s="45"/>
      <c r="DE31" s="45"/>
      <c r="DF31" s="45"/>
      <c r="DG31" s="45"/>
      <c r="DH31" s="45"/>
      <c r="DI31" s="45"/>
      <c r="DJ31" s="45"/>
      <c r="DK31" s="45"/>
      <c r="DL31" s="45"/>
      <c r="DM31" s="45"/>
      <c r="DN31" s="45"/>
      <c r="DO31" s="45"/>
      <c r="DP31" s="45"/>
      <c r="DQ31" s="45"/>
      <c r="DR31" s="45"/>
      <c r="DS31" s="45"/>
      <c r="DT31" s="45"/>
      <c r="DU31" s="45"/>
      <c r="DV31" s="45"/>
      <c r="DW31" s="45"/>
      <c r="DX31" s="45"/>
      <c r="DY31" s="45"/>
      <c r="DZ31" s="45"/>
      <c r="EA31" s="45"/>
      <c r="EB31" s="45"/>
      <c r="EC31" s="45"/>
      <c r="ED31" s="45"/>
      <c r="EE31" s="45"/>
      <c r="EF31" s="45"/>
      <c r="EG31" s="45"/>
      <c r="EH31" s="45"/>
      <c r="EI31" s="45"/>
      <c r="EJ31" s="45"/>
      <c r="EK31" s="45"/>
      <c r="EL31" s="45"/>
      <c r="EM31" s="45"/>
      <c r="EN31" s="45"/>
      <c r="EO31" s="45"/>
      <c r="EP31" s="45"/>
      <c r="EQ31" s="45"/>
      <c r="ER31" s="45"/>
      <c r="ES31" s="45"/>
      <c r="ET31" s="45"/>
      <c r="EU31" s="45"/>
      <c r="EV31" s="45"/>
      <c r="EW31" s="45"/>
      <c r="EX31" s="45"/>
      <c r="EY31" s="45"/>
      <c r="EZ31" s="45"/>
      <c r="FA31" s="45"/>
      <c r="FB31" s="45"/>
      <c r="FC31" s="45"/>
      <c r="FD31" s="45"/>
      <c r="FE31" s="45"/>
      <c r="FF31" s="45"/>
      <c r="FG31" s="45"/>
      <c r="FH31" s="45"/>
      <c r="FI31" s="45"/>
      <c r="FJ31" s="45"/>
      <c r="FK31" s="45"/>
      <c r="FL31" s="45"/>
      <c r="FM31" s="45"/>
      <c r="FN31" s="45"/>
      <c r="FO31" s="45"/>
      <c r="FP31" s="45"/>
      <c r="FQ31" s="45"/>
      <c r="FR31" s="45"/>
      <c r="FS31" s="45"/>
      <c r="FT31" s="45"/>
      <c r="FU31" s="45"/>
      <c r="FV31" s="45"/>
      <c r="FW31" s="45"/>
      <c r="FX31" s="45"/>
      <c r="FY31" s="45"/>
      <c r="FZ31" s="45"/>
      <c r="GA31" s="45"/>
      <c r="GB31" s="45"/>
      <c r="GC31" s="45"/>
      <c r="GD31" s="45"/>
      <c r="GE31" s="45"/>
      <c r="GF31" s="45"/>
      <c r="GG31" s="45"/>
      <c r="GH31" s="45"/>
      <c r="GI31" s="45"/>
    </row>
    <row r="32" spans="1:191" s="41" customFormat="1" ht="30" customHeight="1" thickBot="1" x14ac:dyDescent="0.35">
      <c r="A32" s="12"/>
      <c r="B32" s="70"/>
      <c r="C32" s="72"/>
      <c r="D32" s="72"/>
      <c r="E32" s="15"/>
      <c r="F32" s="4" t="str">
        <f t="shared" si="0"/>
        <v/>
      </c>
      <c r="G32" s="45"/>
      <c r="H32" s="45"/>
      <c r="I32" s="45"/>
      <c r="J32" s="45"/>
      <c r="K32" s="45"/>
      <c r="L32" s="45"/>
      <c r="M32" s="45"/>
      <c r="N32" s="45"/>
      <c r="O32" s="45"/>
      <c r="P32" s="45"/>
      <c r="Q32" s="45"/>
      <c r="R32" s="45"/>
      <c r="S32" s="45"/>
      <c r="T32" s="45"/>
      <c r="U32" s="92"/>
      <c r="V32" s="92"/>
      <c r="W32" s="92"/>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M32" s="45"/>
      <c r="CN32" s="45"/>
      <c r="CO32" s="45"/>
      <c r="CP32" s="45"/>
      <c r="CQ32" s="45"/>
      <c r="CR32" s="45"/>
      <c r="CS32" s="45"/>
      <c r="CT32" s="45"/>
      <c r="CU32" s="45"/>
      <c r="CV32" s="45"/>
      <c r="CW32" s="45"/>
      <c r="CX32" s="45"/>
      <c r="CY32" s="45"/>
      <c r="CZ32" s="45"/>
      <c r="DA32" s="45"/>
      <c r="DB32" s="45"/>
      <c r="DC32" s="45"/>
      <c r="DD32" s="45"/>
      <c r="DE32" s="45"/>
      <c r="DF32" s="45"/>
      <c r="DG32" s="45"/>
      <c r="DH32" s="45"/>
      <c r="DI32" s="45"/>
      <c r="DJ32" s="45"/>
      <c r="DK32" s="45"/>
      <c r="DL32" s="45"/>
      <c r="DM32" s="45"/>
      <c r="DN32" s="45"/>
      <c r="DO32" s="45"/>
      <c r="DP32" s="45"/>
      <c r="DQ32" s="45"/>
      <c r="DR32" s="45"/>
      <c r="DS32" s="45"/>
      <c r="DT32" s="45"/>
      <c r="DU32" s="45"/>
      <c r="DV32" s="45"/>
      <c r="DW32" s="45"/>
      <c r="DX32" s="45"/>
      <c r="DY32" s="45"/>
      <c r="DZ32" s="45"/>
      <c r="EA32" s="45"/>
      <c r="EB32" s="45"/>
      <c r="EC32" s="45"/>
      <c r="ED32" s="45"/>
      <c r="EE32" s="45"/>
      <c r="EF32" s="45"/>
      <c r="EG32" s="45"/>
      <c r="EH32" s="45"/>
      <c r="EI32" s="45"/>
      <c r="EJ32" s="45"/>
      <c r="EK32" s="45"/>
      <c r="EL32" s="45"/>
      <c r="EM32" s="45"/>
      <c r="EN32" s="45"/>
      <c r="EO32" s="45"/>
      <c r="EP32" s="45"/>
      <c r="EQ32" s="45"/>
      <c r="ER32" s="45"/>
      <c r="ES32" s="45"/>
      <c r="ET32" s="45"/>
      <c r="EU32" s="45"/>
      <c r="EV32" s="45"/>
      <c r="EW32" s="45"/>
      <c r="EX32" s="45"/>
      <c r="EY32" s="45"/>
      <c r="EZ32" s="45"/>
      <c r="FA32" s="45"/>
      <c r="FB32" s="45"/>
      <c r="FC32" s="45"/>
      <c r="FD32" s="45"/>
      <c r="FE32" s="45"/>
      <c r="FF32" s="45"/>
      <c r="FG32" s="45"/>
      <c r="FH32" s="45"/>
      <c r="FI32" s="45"/>
      <c r="FJ32" s="45"/>
      <c r="FK32" s="45"/>
      <c r="FL32" s="45"/>
      <c r="FM32" s="45"/>
      <c r="FN32" s="45"/>
      <c r="FO32" s="45"/>
      <c r="FP32" s="45"/>
      <c r="FQ32" s="45"/>
      <c r="FR32" s="45"/>
      <c r="FS32" s="45"/>
      <c r="FT32" s="45"/>
      <c r="FU32" s="45"/>
      <c r="FV32" s="45"/>
      <c r="FW32" s="45"/>
      <c r="FX32" s="45"/>
      <c r="FY32" s="45"/>
      <c r="FZ32" s="45"/>
      <c r="GA32" s="45"/>
      <c r="GB32" s="45"/>
      <c r="GC32" s="45"/>
      <c r="GD32" s="45"/>
      <c r="GE32" s="45"/>
      <c r="GF32" s="45"/>
      <c r="GG32" s="45"/>
      <c r="GH32" s="45"/>
      <c r="GI32" s="45"/>
    </row>
    <row r="33" spans="1:37" s="41" customFormat="1" ht="30" customHeight="1" thickBot="1" x14ac:dyDescent="0.35">
      <c r="A33" s="12"/>
      <c r="B33" s="126"/>
      <c r="C33" s="75"/>
      <c r="D33" s="75"/>
      <c r="E33" s="15"/>
      <c r="F33" s="4" t="str">
        <f t="shared" si="0"/>
        <v/>
      </c>
      <c r="G33" s="40"/>
      <c r="H33" s="40"/>
      <c r="I33" s="40"/>
      <c r="J33" s="40"/>
      <c r="K33" s="40"/>
      <c r="L33" s="40"/>
      <c r="M33" s="40"/>
      <c r="N33" s="40"/>
      <c r="O33" s="40"/>
      <c r="P33" s="40"/>
      <c r="Q33" s="40"/>
      <c r="R33" s="40"/>
      <c r="S33" s="40"/>
      <c r="T33" s="40"/>
      <c r="U33" s="91"/>
      <c r="V33" s="91"/>
      <c r="W33" s="91"/>
      <c r="X33" s="40"/>
      <c r="Y33" s="40"/>
      <c r="Z33" s="40"/>
      <c r="AA33" s="40"/>
      <c r="AB33" s="40"/>
      <c r="AC33" s="40"/>
      <c r="AD33" s="40"/>
      <c r="AE33" s="40"/>
      <c r="AF33" s="40"/>
      <c r="AG33" s="40"/>
      <c r="AH33" s="40"/>
      <c r="AI33" s="40"/>
      <c r="AJ33" s="40"/>
      <c r="AK33" s="40"/>
    </row>
    <row r="34" spans="1:37" s="41" customFormat="1" ht="30" customHeight="1" thickBot="1" x14ac:dyDescent="0.35">
      <c r="A34" s="13"/>
      <c r="B34" s="76" t="s">
        <v>8</v>
      </c>
      <c r="C34" s="78"/>
      <c r="D34" s="79"/>
      <c r="E34" s="15"/>
      <c r="F34" s="5" t="str">
        <f t="shared" si="0"/>
        <v/>
      </c>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row>
    <row r="35" spans="1:37" ht="30" customHeight="1" x14ac:dyDescent="0.3">
      <c r="E35" s="3"/>
    </row>
    <row r="36" spans="1:37" ht="30" customHeight="1" x14ac:dyDescent="0.3">
      <c r="D36" s="14"/>
    </row>
  </sheetData>
  <mergeCells count="38">
    <mergeCell ref="A5:A6"/>
    <mergeCell ref="B5:B6"/>
    <mergeCell ref="C5:C6"/>
    <mergeCell ref="O1:X1"/>
    <mergeCell ref="G2:M2"/>
    <mergeCell ref="O2:X2"/>
    <mergeCell ref="D5:D6"/>
    <mergeCell ref="J5:J6"/>
    <mergeCell ref="M5:M6"/>
    <mergeCell ref="U5:U6"/>
    <mergeCell ref="W5:W6"/>
    <mergeCell ref="Y5:Y6"/>
    <mergeCell ref="G5:G6"/>
    <mergeCell ref="L5:L6"/>
    <mergeCell ref="K5:K6"/>
    <mergeCell ref="H5:H6"/>
    <mergeCell ref="I5:I6"/>
    <mergeCell ref="AK5:AK6"/>
    <mergeCell ref="AE5:AE6"/>
    <mergeCell ref="N5:N6"/>
    <mergeCell ref="O5:O6"/>
    <mergeCell ref="P5:P6"/>
    <mergeCell ref="Q5:Q6"/>
    <mergeCell ref="R5:R6"/>
    <mergeCell ref="S5:S6"/>
    <mergeCell ref="T5:T6"/>
    <mergeCell ref="Z5:Z6"/>
    <mergeCell ref="AA5:AA6"/>
    <mergeCell ref="AB5:AB6"/>
    <mergeCell ref="AC5:AC6"/>
    <mergeCell ref="AD5:AD6"/>
    <mergeCell ref="V5:V6"/>
    <mergeCell ref="X5:X6"/>
    <mergeCell ref="AF5:AF6"/>
    <mergeCell ref="AG5:AG6"/>
    <mergeCell ref="AH5:AH6"/>
    <mergeCell ref="AI5:AI6"/>
    <mergeCell ref="AJ5:AJ6"/>
  </mergeCells>
  <phoneticPr fontId="29" type="noConversion"/>
  <conditionalFormatting sqref="G9 H10:GH10 G11:GH14">
    <cfRule type="expression" dxfId="24" priority="301">
      <formula>AND(task_start&lt;=#REF!,ROUNDDOWN((task_end-task_start+1)*task_progress,0)+task_start-1&gt;=#REF!)</formula>
    </cfRule>
    <cfRule type="expression" dxfId="23" priority="302" stopIfTrue="1">
      <formula>AND(task_end&gt;=#REF!,task_start&lt;#REF!)</formula>
    </cfRule>
  </conditionalFormatting>
  <conditionalFormatting sqref="G5:AK5">
    <cfRule type="expression" dxfId="22" priority="1">
      <formula>AND(TODAY()&gt;=#REF!, TODAY()&lt;#REF!)</formula>
    </cfRule>
  </conditionalFormatting>
  <conditionalFormatting sqref="G7:GH9 H10:GH10 G11:GH27 G30:AC30 G28:X28 G29:Z29 AD28:GH28 G32:GH32 G31:AG31 AL31:GH31 AH30:GH30 AF29:GH29">
    <cfRule type="expression" dxfId="21" priority="297">
      <formula>AND(TODAY()&gt;=#REF!, TODAY()&lt;#REF!)</formula>
    </cfRule>
  </conditionalFormatting>
  <conditionalFormatting sqref="G16:GH20">
    <cfRule type="expression" dxfId="20" priority="306" stopIfTrue="1">
      <formula>AND(task_end&gt;=#REF!,task_start&lt;#REF!)</formula>
    </cfRule>
  </conditionalFormatting>
  <conditionalFormatting sqref="G22:GH26">
    <cfRule type="expression" dxfId="19" priority="310" stopIfTrue="1">
      <formula>AND(task_end&gt;=#REF!,task_start&lt;#REF!)</formula>
    </cfRule>
  </conditionalFormatting>
  <conditionalFormatting sqref="G30:AC30 G28:X28 G29:Z29 AD28:GH28 G32:GH32 G31:AG31 AL31:GH31 AH30:GH30 AF29:GH29">
    <cfRule type="expression" dxfId="18" priority="314" stopIfTrue="1">
      <formula>AND(task_end&gt;=#REF!,task_start&lt;#REF!)</formula>
    </cfRule>
  </conditionalFormatting>
  <conditionalFormatting sqref="G16:GI20">
    <cfRule type="expression" dxfId="17" priority="303">
      <formula>AND(task_start&lt;=#REF!,ROUNDDOWN((task_end-task_start+1)*task_progress,0)+task_start-1&gt;=#REF!)</formula>
    </cfRule>
  </conditionalFormatting>
  <conditionalFormatting sqref="G22:GI26">
    <cfRule type="expression" dxfId="16" priority="307">
      <formula>AND(task_start&lt;=#REF!,ROUNDDOWN((task_end-task_start+1)*task_progress,0)+task_start-1&gt;=#REF!)</formula>
    </cfRule>
  </conditionalFormatting>
  <conditionalFormatting sqref="G30:AC30 G28:X28 G29:Z29 AD28:GI28 G32:GI32 G31:AG31 AL31:GI31 AH30:GI30 AF29:GI29">
    <cfRule type="expression" dxfId="15" priority="311">
      <formula>AND(task_start&lt;=#REF!,ROUNDDOWN((task_end-task_start+1)*task_progress,0)+task_start-1&gt;=#REF!)</formula>
    </cfRule>
  </conditionalFormatting>
  <conditionalFormatting sqref="GI7:GI32">
    <cfRule type="expression" dxfId="14" priority="295">
      <formula>AND(TODAY()&gt;=#REF!, TODAY()&lt;AL$5)</formula>
    </cfRule>
  </conditionalFormatting>
  <conditionalFormatting sqref="GI10:GI14">
    <cfRule type="expression" dxfId="13" priority="299">
      <formula>AND(task_start&lt;=#REF!,ROUNDDOWN((task_end-task_start+1)*task_progress,0)+task_start-1&gt;=#REF!)</formula>
    </cfRule>
    <cfRule type="expression" dxfId="12" priority="300" stopIfTrue="1">
      <formula>AND(task_end&gt;=#REF!,task_start&lt;AL$5)</formula>
    </cfRule>
  </conditionalFormatting>
  <conditionalFormatting sqref="GI16:GI20">
    <cfRule type="expression" dxfId="11" priority="304" stopIfTrue="1">
      <formula>AND(task_end&gt;=#REF!,task_start&lt;AL$5)</formula>
    </cfRule>
  </conditionalFormatting>
  <conditionalFormatting sqref="GI22:GI26">
    <cfRule type="expression" dxfId="10" priority="308" stopIfTrue="1">
      <formula>AND(task_end&gt;=#REF!,task_start&lt;AL$5)</formula>
    </cfRule>
  </conditionalFormatting>
  <conditionalFormatting sqref="GI28:GI32">
    <cfRule type="expression" dxfId="9" priority="312" stopIfTrue="1">
      <formula>AND(task_end&gt;=#REF!,task_start&lt;AL$5)</formula>
    </cfRule>
  </conditionalFormatting>
  <dataValidations count="13">
    <dataValidation allowBlank="1" showInputMessage="1" showErrorMessage="1" prompt="This row marks the end of the Project Schedule. DO NOT enter anything in this row. _x000a_Insert new rows ABOVE this one to continue building out your Project Schedule." sqref="A34" xr:uid="{1791FAAC-0F0C-4A9B-A22F-111E7B2E4CA0}"/>
    <dataValidation allowBlank="1" showInputMessage="1" showErrorMessage="1" prompt="Phase 4's sample block starts in cell B26." sqref="A27" xr:uid="{BA905CE4-420E-48BD-8415-FF8767F5A8ED}"/>
    <dataValidation allowBlank="1" showInputMessage="1" showErrorMessage="1" prompt="Phase 3's sample block starts in cell B20." sqref="A21" xr:uid="{311E9FB0-E0F6-4C47-ACFE-E3D940263216}"/>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67408609-A31C-40D5-9999-88ECC3CAEC3C}"/>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xr:uid="{17E21ACF-3934-4E7E-B13A-6722C50C689C}"/>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10" xr:uid="{CB9896C9-EF1E-4D23-9585-B03858B996C0}"/>
    <dataValidation allowBlank="1" showInputMessage="1" showErrorMessage="1" prompt="Cell B8 contains the Phase 1 sample title. Enter a new title in cell B8._x000a_To delete the phase and work only from tasks, simply delete this row." sqref="A9" xr:uid="{8684335B-916E-44B4-8AC4-BF30AB106A63}"/>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ABF4A406-05F2-4CB8-B44B-D08F3F906C08}"/>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30441669-0A41-4DB3-9410-609E44383AA3}"/>
    <dataValidation allowBlank="1" showInputMessage="1" showErrorMessage="1" prompt="Enter the name of the Project Lead in cell C3. Enter the Project Start date in cell Q1. Project Start: label is in cell I1." sqref="A3" xr:uid="{EB7E2F1B-92E1-4645-8C90-D4C7209B8163}"/>
    <dataValidation allowBlank="1" showInputMessage="1" showErrorMessage="1" prompt="Enter Company name in cel B2." sqref="A2" xr:uid="{6E09514A-7BD9-45B2-B8C5-539051CAE85D}"/>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85EDF156-903E-4081-B5F2-9C838A83183B}"/>
    <dataValidation type="whole" operator="greaterThanOrEqual" allowBlank="1" showInputMessage="1" promptTitle="Display Week" prompt="Changing this number will scroll the Gantt Chart view." sqref="O2" xr:uid="{B7212B07-F422-427C-87DB-653973A2AD18}">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M35"/>
  <sheetViews>
    <sheetView showGridLines="0" showRuler="0" topLeftCell="B1" zoomScale="61" zoomScaleNormal="120" zoomScalePageLayoutView="70" workbookViewId="0">
      <selection activeCell="D9" sqref="D9"/>
    </sheetView>
  </sheetViews>
  <sheetFormatPr defaultColWidth="8.75" defaultRowHeight="30" customHeight="1" x14ac:dyDescent="0.3"/>
  <cols>
    <col min="1" max="1" width="2.75" style="12" customWidth="1"/>
    <col min="2" max="2" width="47.33203125" customWidth="1"/>
    <col min="3" max="3" width="10.75" customWidth="1"/>
    <col min="4" max="4" width="10.75" style="2" customWidth="1"/>
    <col min="5" max="5" width="10.75" customWidth="1"/>
    <col min="6" max="6" width="2.75" customWidth="1"/>
    <col min="7" max="7" width="6" hidden="1" customWidth="1"/>
    <col min="8" max="266" width="2.75" customWidth="1"/>
  </cols>
  <sheetData>
    <row r="1" spans="1:273" ht="90" customHeight="1" x14ac:dyDescent="1.7">
      <c r="A1" s="13"/>
      <c r="B1" s="82" t="s">
        <v>22</v>
      </c>
      <c r="C1" s="16"/>
      <c r="D1" s="17"/>
      <c r="E1" s="18"/>
      <c r="G1" s="1"/>
      <c r="H1" s="118" t="s">
        <v>0</v>
      </c>
      <c r="I1" s="119"/>
      <c r="J1" s="119"/>
      <c r="K1" s="119"/>
      <c r="L1" s="119"/>
      <c r="M1" s="119"/>
      <c r="N1" s="119"/>
      <c r="O1" s="21"/>
      <c r="P1" s="116">
        <f>DATE(2026,3,2)</f>
        <v>46083</v>
      </c>
      <c r="Q1" s="117"/>
      <c r="R1" s="117"/>
      <c r="S1" s="117"/>
      <c r="T1" s="117"/>
      <c r="U1" s="117"/>
      <c r="V1" s="117"/>
      <c r="W1" s="117"/>
      <c r="X1" s="117"/>
      <c r="Y1" s="117"/>
    </row>
    <row r="2" spans="1:273" ht="30" customHeight="1" x14ac:dyDescent="0.7">
      <c r="B2" s="81" t="s">
        <v>23</v>
      </c>
      <c r="C2" s="19"/>
      <c r="D2" s="20"/>
      <c r="E2" s="19"/>
      <c r="H2" s="118" t="s">
        <v>1</v>
      </c>
      <c r="I2" s="119"/>
      <c r="J2" s="119"/>
      <c r="K2" s="119"/>
      <c r="L2" s="119"/>
      <c r="M2" s="119"/>
      <c r="N2" s="119"/>
      <c r="O2" s="21"/>
      <c r="P2" s="120">
        <v>1</v>
      </c>
      <c r="Q2" s="117"/>
      <c r="R2" s="117"/>
      <c r="S2" s="117"/>
      <c r="T2" s="117"/>
      <c r="U2" s="117"/>
      <c r="V2" s="117"/>
      <c r="W2" s="117"/>
      <c r="X2" s="117"/>
      <c r="Y2" s="117"/>
    </row>
    <row r="3" spans="1:273" s="23" customFormat="1" ht="30" customHeight="1" x14ac:dyDescent="0.3">
      <c r="A3" s="12"/>
      <c r="B3" s="22" t="s">
        <v>56</v>
      </c>
      <c r="C3" s="24"/>
      <c r="D3" s="25"/>
    </row>
    <row r="4" spans="1:273" s="23" customFormat="1" ht="30" customHeight="1" x14ac:dyDescent="0.3">
      <c r="A4" s="13"/>
      <c r="B4" s="26"/>
      <c r="D4" s="27"/>
      <c r="H4" s="123">
        <f>H5</f>
        <v>46083</v>
      </c>
      <c r="I4" s="121"/>
      <c r="J4" s="121"/>
      <c r="K4" s="121"/>
      <c r="L4" s="121"/>
      <c r="M4" s="121"/>
      <c r="N4" s="121"/>
      <c r="O4" s="121">
        <f>O5</f>
        <v>46090</v>
      </c>
      <c r="P4" s="121"/>
      <c r="Q4" s="121"/>
      <c r="R4" s="121"/>
      <c r="S4" s="121"/>
      <c r="T4" s="121"/>
      <c r="U4" s="121"/>
      <c r="V4" s="121">
        <f>V5</f>
        <v>46097</v>
      </c>
      <c r="W4" s="121"/>
      <c r="X4" s="121"/>
      <c r="Y4" s="121"/>
      <c r="Z4" s="121"/>
      <c r="AA4" s="121"/>
      <c r="AB4" s="121"/>
      <c r="AC4" s="121">
        <f>AC5</f>
        <v>46104</v>
      </c>
      <c r="AD4" s="121"/>
      <c r="AE4" s="121"/>
      <c r="AF4" s="121"/>
      <c r="AG4" s="121"/>
      <c r="AH4" s="121"/>
      <c r="AI4" s="121"/>
      <c r="AJ4" s="121">
        <f>AJ5</f>
        <v>46111</v>
      </c>
      <c r="AK4" s="121"/>
      <c r="AL4" s="121"/>
      <c r="AM4" s="121"/>
      <c r="AN4" s="121"/>
      <c r="AO4" s="121"/>
      <c r="AP4" s="121"/>
      <c r="AQ4" s="121">
        <f>AQ5</f>
        <v>46118</v>
      </c>
      <c r="AR4" s="121"/>
      <c r="AS4" s="121"/>
      <c r="AT4" s="121"/>
      <c r="AU4" s="121"/>
      <c r="AV4" s="121"/>
      <c r="AW4" s="121"/>
      <c r="AX4" s="121">
        <f>AX5</f>
        <v>46125</v>
      </c>
      <c r="AY4" s="121"/>
      <c r="AZ4" s="121"/>
      <c r="BA4" s="121"/>
      <c r="BB4" s="121"/>
      <c r="BC4" s="121"/>
      <c r="BD4" s="121"/>
      <c r="BE4" s="121">
        <f>BE5</f>
        <v>46132</v>
      </c>
      <c r="BF4" s="121"/>
      <c r="BG4" s="121"/>
      <c r="BH4" s="121"/>
      <c r="BI4" s="121"/>
      <c r="BJ4" s="121"/>
      <c r="BK4" s="122"/>
      <c r="BL4" s="121">
        <f>BL5</f>
        <v>46139</v>
      </c>
      <c r="BM4" s="121"/>
      <c r="BN4" s="121"/>
      <c r="BO4" s="121"/>
      <c r="BP4" s="121"/>
      <c r="BQ4" s="121"/>
      <c r="BR4" s="122"/>
      <c r="BS4" s="121">
        <f>BS5</f>
        <v>46146</v>
      </c>
      <c r="BT4" s="121"/>
      <c r="BU4" s="121"/>
      <c r="BV4" s="121"/>
      <c r="BW4" s="121"/>
      <c r="BX4" s="121"/>
      <c r="BY4" s="122"/>
      <c r="BZ4" s="121">
        <f>BZ5</f>
        <v>46153</v>
      </c>
      <c r="CA4" s="121"/>
      <c r="CB4" s="121"/>
      <c r="CC4" s="121"/>
      <c r="CD4" s="121"/>
      <c r="CE4" s="121"/>
      <c r="CF4" s="122"/>
      <c r="CG4" s="121">
        <f>CG5</f>
        <v>46160</v>
      </c>
      <c r="CH4" s="121"/>
      <c r="CI4" s="121"/>
      <c r="CJ4" s="121"/>
      <c r="CK4" s="121"/>
      <c r="CL4" s="121"/>
      <c r="CM4" s="122"/>
      <c r="CN4" s="121">
        <f>CN5</f>
        <v>46167</v>
      </c>
      <c r="CO4" s="121"/>
      <c r="CP4" s="121"/>
      <c r="CQ4" s="121"/>
      <c r="CR4" s="121"/>
      <c r="CS4" s="121"/>
      <c r="CT4" s="122"/>
      <c r="CU4" s="121">
        <f>CU5</f>
        <v>46174</v>
      </c>
      <c r="CV4" s="121"/>
      <c r="CW4" s="121"/>
      <c r="CX4" s="121"/>
      <c r="CY4" s="121"/>
      <c r="CZ4" s="121"/>
      <c r="DA4" s="122"/>
      <c r="DB4" s="121">
        <f>DB5</f>
        <v>46181</v>
      </c>
      <c r="DC4" s="121"/>
      <c r="DD4" s="121"/>
      <c r="DE4" s="121"/>
      <c r="DF4" s="121"/>
      <c r="DG4" s="121"/>
      <c r="DH4" s="122"/>
      <c r="DI4" s="121">
        <f>DI5</f>
        <v>46188</v>
      </c>
      <c r="DJ4" s="121"/>
      <c r="DK4" s="121"/>
      <c r="DL4" s="121"/>
      <c r="DM4" s="121"/>
      <c r="DN4" s="121"/>
      <c r="DO4" s="122"/>
      <c r="DP4" s="121">
        <f>DP5</f>
        <v>46195</v>
      </c>
      <c r="DQ4" s="121"/>
      <c r="DR4" s="121"/>
      <c r="DS4" s="121"/>
      <c r="DT4" s="121"/>
      <c r="DU4" s="121"/>
      <c r="DV4" s="122"/>
      <c r="DW4" s="121">
        <f>DW5</f>
        <v>46202</v>
      </c>
      <c r="DX4" s="121"/>
      <c r="DY4" s="121"/>
      <c r="DZ4" s="121"/>
      <c r="EA4" s="121"/>
      <c r="EB4" s="121"/>
      <c r="EC4" s="122"/>
      <c r="ED4" s="121">
        <f>ED5</f>
        <v>46209</v>
      </c>
      <c r="EE4" s="121"/>
      <c r="EF4" s="121"/>
      <c r="EG4" s="121"/>
      <c r="EH4" s="121"/>
      <c r="EI4" s="121"/>
      <c r="EJ4" s="122"/>
      <c r="EK4" s="121">
        <f>EK5</f>
        <v>46216</v>
      </c>
      <c r="EL4" s="121"/>
      <c r="EM4" s="121"/>
      <c r="EN4" s="121"/>
      <c r="EO4" s="121"/>
      <c r="EP4" s="121"/>
      <c r="EQ4" s="122"/>
      <c r="ER4" s="121">
        <f>ER5</f>
        <v>46223</v>
      </c>
      <c r="ES4" s="121"/>
      <c r="ET4" s="121"/>
      <c r="EU4" s="121"/>
      <c r="EV4" s="121"/>
      <c r="EW4" s="121"/>
      <c r="EX4" s="122"/>
      <c r="EY4" s="121">
        <f>EY5</f>
        <v>46230</v>
      </c>
      <c r="EZ4" s="121"/>
      <c r="FA4" s="121"/>
      <c r="FB4" s="121"/>
      <c r="FC4" s="121"/>
      <c r="FD4" s="121"/>
      <c r="FE4" s="122"/>
      <c r="FF4" s="121">
        <f>FF5</f>
        <v>46237</v>
      </c>
      <c r="FG4" s="121"/>
      <c r="FH4" s="121"/>
      <c r="FI4" s="121"/>
      <c r="FJ4" s="121"/>
      <c r="FK4" s="121"/>
      <c r="FL4" s="122"/>
      <c r="FM4" s="121">
        <f>FM5</f>
        <v>46244</v>
      </c>
      <c r="FN4" s="121"/>
      <c r="FO4" s="121"/>
      <c r="FP4" s="121"/>
      <c r="FQ4" s="121"/>
      <c r="FR4" s="121"/>
      <c r="FS4" s="122"/>
      <c r="FT4" s="121">
        <f>FT5</f>
        <v>46251</v>
      </c>
      <c r="FU4" s="121"/>
      <c r="FV4" s="121"/>
      <c r="FW4" s="121"/>
      <c r="FX4" s="121"/>
      <c r="FY4" s="121"/>
      <c r="FZ4" s="122"/>
      <c r="GA4" s="121">
        <f>GA5</f>
        <v>46258</v>
      </c>
      <c r="GB4" s="121"/>
      <c r="GC4" s="121"/>
      <c r="GD4" s="121"/>
      <c r="GE4" s="121"/>
      <c r="GF4" s="121"/>
      <c r="GG4" s="122"/>
      <c r="GH4" s="121">
        <f>GH5</f>
        <v>46265</v>
      </c>
      <c r="GI4" s="121"/>
      <c r="GJ4" s="121"/>
      <c r="GK4" s="121"/>
      <c r="GL4" s="121"/>
      <c r="GM4" s="121"/>
      <c r="GN4" s="122"/>
      <c r="GO4" s="122">
        <f>GO5</f>
        <v>46272</v>
      </c>
      <c r="GP4" s="124"/>
      <c r="GQ4" s="124"/>
      <c r="GR4" s="124"/>
      <c r="GS4" s="124"/>
      <c r="GT4" s="124"/>
      <c r="GU4" s="124"/>
      <c r="GV4" s="121">
        <f>GV5</f>
        <v>46279</v>
      </c>
      <c r="GW4" s="121"/>
      <c r="GX4" s="121"/>
      <c r="GY4" s="121"/>
      <c r="GZ4" s="121"/>
      <c r="HA4" s="121"/>
      <c r="HB4" s="122"/>
      <c r="HC4" s="121">
        <f>HC5</f>
        <v>46286</v>
      </c>
      <c r="HD4" s="121"/>
      <c r="HE4" s="121"/>
      <c r="HF4" s="121"/>
      <c r="HG4" s="121"/>
      <c r="HH4" s="121"/>
      <c r="HI4" s="122"/>
      <c r="HJ4" s="121">
        <f>HJ5</f>
        <v>46293</v>
      </c>
      <c r="HK4" s="121"/>
      <c r="HL4" s="121"/>
      <c r="HM4" s="121"/>
      <c r="HN4" s="121"/>
      <c r="HO4" s="121"/>
      <c r="HP4" s="122"/>
      <c r="HQ4" s="121">
        <f>HQ5</f>
        <v>46300</v>
      </c>
      <c r="HR4" s="121"/>
      <c r="HS4" s="121"/>
      <c r="HT4" s="121"/>
      <c r="HU4" s="121"/>
      <c r="HV4" s="121"/>
      <c r="HW4" s="122"/>
      <c r="HX4" s="121">
        <f>HX5</f>
        <v>46307</v>
      </c>
      <c r="HY4" s="121"/>
      <c r="HZ4" s="121"/>
      <c r="IA4" s="121"/>
      <c r="IB4" s="121"/>
      <c r="IC4" s="121"/>
      <c r="ID4" s="122"/>
      <c r="IE4" s="121">
        <f>IE5</f>
        <v>46314</v>
      </c>
      <c r="IF4" s="121"/>
      <c r="IG4" s="121"/>
      <c r="IH4" s="121"/>
      <c r="II4" s="121"/>
      <c r="IJ4" s="121"/>
      <c r="IK4" s="122"/>
      <c r="IL4" s="121">
        <f>IL5</f>
        <v>46321</v>
      </c>
      <c r="IM4" s="121"/>
      <c r="IN4" s="121"/>
      <c r="IO4" s="121"/>
      <c r="IP4" s="121"/>
      <c r="IQ4" s="121"/>
      <c r="IR4" s="122"/>
      <c r="IS4" s="121">
        <f>IS5</f>
        <v>46328</v>
      </c>
      <c r="IT4" s="121"/>
      <c r="IU4" s="121"/>
      <c r="IV4" s="121"/>
      <c r="IW4" s="121"/>
      <c r="IX4" s="121"/>
      <c r="IY4" s="122"/>
      <c r="IZ4" s="121">
        <f>IZ5</f>
        <v>46335</v>
      </c>
      <c r="JA4" s="121"/>
      <c r="JB4" s="121"/>
      <c r="JC4" s="121"/>
      <c r="JD4" s="121"/>
      <c r="JE4" s="121"/>
      <c r="JF4" s="122"/>
      <c r="JG4" s="121">
        <f>JG5</f>
        <v>46342</v>
      </c>
      <c r="JH4" s="121"/>
      <c r="JI4" s="121"/>
      <c r="JJ4" s="121"/>
      <c r="JK4" s="121"/>
      <c r="JL4" s="121"/>
      <c r="JM4" s="122"/>
    </row>
    <row r="5" spans="1:273" s="23" customFormat="1" ht="15" customHeight="1" x14ac:dyDescent="0.3">
      <c r="A5" s="113"/>
      <c r="B5" s="114" t="s">
        <v>3</v>
      </c>
      <c r="C5" s="109" t="s">
        <v>4</v>
      </c>
      <c r="D5" s="109" t="s">
        <v>5</v>
      </c>
      <c r="E5" s="109" t="s">
        <v>6</v>
      </c>
      <c r="H5" s="28">
        <f>Project_Start-WEEKDAY(Project_Start,1)+2+7*(Display_Week-1)</f>
        <v>46083</v>
      </c>
      <c r="I5" s="28">
        <f>H5+1</f>
        <v>46084</v>
      </c>
      <c r="J5" s="28">
        <f t="shared" ref="J5:AW5" si="0">I5+1</f>
        <v>46085</v>
      </c>
      <c r="K5" s="28">
        <f t="shared" si="0"/>
        <v>46086</v>
      </c>
      <c r="L5" s="28">
        <f t="shared" si="0"/>
        <v>46087</v>
      </c>
      <c r="M5" s="28">
        <f t="shared" si="0"/>
        <v>46088</v>
      </c>
      <c r="N5" s="29">
        <f t="shared" si="0"/>
        <v>46089</v>
      </c>
      <c r="O5" s="30">
        <f>N5+1</f>
        <v>46090</v>
      </c>
      <c r="P5" s="28">
        <f>O5+1</f>
        <v>46091</v>
      </c>
      <c r="Q5" s="28">
        <f t="shared" si="0"/>
        <v>46092</v>
      </c>
      <c r="R5" s="28">
        <f t="shared" si="0"/>
        <v>46093</v>
      </c>
      <c r="S5" s="28">
        <f t="shared" si="0"/>
        <v>46094</v>
      </c>
      <c r="T5" s="28">
        <f t="shared" si="0"/>
        <v>46095</v>
      </c>
      <c r="U5" s="29">
        <f t="shared" si="0"/>
        <v>46096</v>
      </c>
      <c r="V5" s="30">
        <f>U5+1</f>
        <v>46097</v>
      </c>
      <c r="W5" s="28">
        <f>V5+1</f>
        <v>46098</v>
      </c>
      <c r="X5" s="28">
        <f t="shared" si="0"/>
        <v>46099</v>
      </c>
      <c r="Y5" s="28">
        <f t="shared" si="0"/>
        <v>46100</v>
      </c>
      <c r="Z5" s="28">
        <f t="shared" si="0"/>
        <v>46101</v>
      </c>
      <c r="AA5" s="28">
        <f t="shared" si="0"/>
        <v>46102</v>
      </c>
      <c r="AB5" s="29">
        <f t="shared" si="0"/>
        <v>46103</v>
      </c>
      <c r="AC5" s="30">
        <f>AB5+1</f>
        <v>46104</v>
      </c>
      <c r="AD5" s="28">
        <f>AC5+1</f>
        <v>46105</v>
      </c>
      <c r="AE5" s="28">
        <f t="shared" si="0"/>
        <v>46106</v>
      </c>
      <c r="AF5" s="28">
        <f t="shared" si="0"/>
        <v>46107</v>
      </c>
      <c r="AG5" s="28">
        <f t="shared" si="0"/>
        <v>46108</v>
      </c>
      <c r="AH5" s="28">
        <f t="shared" si="0"/>
        <v>46109</v>
      </c>
      <c r="AI5" s="29">
        <f t="shared" si="0"/>
        <v>46110</v>
      </c>
      <c r="AJ5" s="30">
        <f>AI5+1</f>
        <v>46111</v>
      </c>
      <c r="AK5" s="28">
        <f>AJ5+1</f>
        <v>46112</v>
      </c>
      <c r="AL5" s="28">
        <f t="shared" si="0"/>
        <v>46113</v>
      </c>
      <c r="AM5" s="28">
        <f t="shared" si="0"/>
        <v>46114</v>
      </c>
      <c r="AN5" s="28">
        <f t="shared" si="0"/>
        <v>46115</v>
      </c>
      <c r="AO5" s="28">
        <f t="shared" si="0"/>
        <v>46116</v>
      </c>
      <c r="AP5" s="29">
        <f t="shared" si="0"/>
        <v>46117</v>
      </c>
      <c r="AQ5" s="30">
        <f>AP5+1</f>
        <v>46118</v>
      </c>
      <c r="AR5" s="28">
        <f>AQ5+1</f>
        <v>46119</v>
      </c>
      <c r="AS5" s="28">
        <f t="shared" si="0"/>
        <v>46120</v>
      </c>
      <c r="AT5" s="28">
        <f t="shared" si="0"/>
        <v>46121</v>
      </c>
      <c r="AU5" s="28">
        <f t="shared" si="0"/>
        <v>46122</v>
      </c>
      <c r="AV5" s="28">
        <f t="shared" si="0"/>
        <v>46123</v>
      </c>
      <c r="AW5" s="29">
        <f t="shared" si="0"/>
        <v>46124</v>
      </c>
      <c r="AX5" s="30">
        <f>AW5+1</f>
        <v>46125</v>
      </c>
      <c r="AY5" s="28">
        <f>AX5+1</f>
        <v>46126</v>
      </c>
      <c r="AZ5" s="28">
        <f t="shared" ref="AZ5:BD5" si="1">AY5+1</f>
        <v>46127</v>
      </c>
      <c r="BA5" s="28">
        <f t="shared" si="1"/>
        <v>46128</v>
      </c>
      <c r="BB5" s="28">
        <f t="shared" si="1"/>
        <v>46129</v>
      </c>
      <c r="BC5" s="28">
        <f t="shared" si="1"/>
        <v>46130</v>
      </c>
      <c r="BD5" s="29">
        <f t="shared" si="1"/>
        <v>46131</v>
      </c>
      <c r="BE5" s="30">
        <f>BD5+1</f>
        <v>46132</v>
      </c>
      <c r="BF5" s="28">
        <f>BE5+1</f>
        <v>46133</v>
      </c>
      <c r="BG5" s="28">
        <f t="shared" ref="BG5:BK5" si="2">BF5+1</f>
        <v>46134</v>
      </c>
      <c r="BH5" s="28">
        <f t="shared" si="2"/>
        <v>46135</v>
      </c>
      <c r="BI5" s="28">
        <f t="shared" si="2"/>
        <v>46136</v>
      </c>
      <c r="BJ5" s="28">
        <f t="shared" si="2"/>
        <v>46137</v>
      </c>
      <c r="BK5" s="28">
        <f t="shared" si="2"/>
        <v>46138</v>
      </c>
      <c r="BL5" s="30">
        <f>BK5+1</f>
        <v>46139</v>
      </c>
      <c r="BM5" s="28">
        <f>BL5+1</f>
        <v>46140</v>
      </c>
      <c r="BN5" s="28">
        <f t="shared" ref="BN5" si="3">BM5+1</f>
        <v>46141</v>
      </c>
      <c r="BO5" s="28">
        <f t="shared" ref="BO5" si="4">BN5+1</f>
        <v>46142</v>
      </c>
      <c r="BP5" s="28">
        <f t="shared" ref="BP5" si="5">BO5+1</f>
        <v>46143</v>
      </c>
      <c r="BQ5" s="28">
        <f t="shared" ref="BQ5" si="6">BP5+1</f>
        <v>46144</v>
      </c>
      <c r="BR5" s="28">
        <f t="shared" ref="BR5" si="7">BQ5+1</f>
        <v>46145</v>
      </c>
      <c r="BS5" s="30">
        <f>BR5+1</f>
        <v>46146</v>
      </c>
      <c r="BT5" s="28">
        <f>BS5+1</f>
        <v>46147</v>
      </c>
      <c r="BU5" s="28">
        <f t="shared" ref="BU5" si="8">BT5+1</f>
        <v>46148</v>
      </c>
      <c r="BV5" s="28">
        <f t="shared" ref="BV5" si="9">BU5+1</f>
        <v>46149</v>
      </c>
      <c r="BW5" s="28">
        <f t="shared" ref="BW5" si="10">BV5+1</f>
        <v>46150</v>
      </c>
      <c r="BX5" s="28">
        <f t="shared" ref="BX5" si="11">BW5+1</f>
        <v>46151</v>
      </c>
      <c r="BY5" s="28">
        <f t="shared" ref="BY5" si="12">BX5+1</f>
        <v>46152</v>
      </c>
      <c r="BZ5" s="30">
        <f>BY5+1</f>
        <v>46153</v>
      </c>
      <c r="CA5" s="28">
        <f>BZ5+1</f>
        <v>46154</v>
      </c>
      <c r="CB5" s="28">
        <f t="shared" ref="CB5" si="13">CA5+1</f>
        <v>46155</v>
      </c>
      <c r="CC5" s="28">
        <f t="shared" ref="CC5" si="14">CB5+1</f>
        <v>46156</v>
      </c>
      <c r="CD5" s="28">
        <f t="shared" ref="CD5" si="15">CC5+1</f>
        <v>46157</v>
      </c>
      <c r="CE5" s="28">
        <f t="shared" ref="CE5" si="16">CD5+1</f>
        <v>46158</v>
      </c>
      <c r="CF5" s="28">
        <f t="shared" ref="CF5" si="17">CE5+1</f>
        <v>46159</v>
      </c>
      <c r="CG5" s="30">
        <f>CF5+1</f>
        <v>46160</v>
      </c>
      <c r="CH5" s="28">
        <f>CG5+1</f>
        <v>46161</v>
      </c>
      <c r="CI5" s="28">
        <f t="shared" ref="CI5" si="18">CH5+1</f>
        <v>46162</v>
      </c>
      <c r="CJ5" s="28">
        <f t="shared" ref="CJ5" si="19">CI5+1</f>
        <v>46163</v>
      </c>
      <c r="CK5" s="28">
        <f t="shared" ref="CK5" si="20">CJ5+1</f>
        <v>46164</v>
      </c>
      <c r="CL5" s="28">
        <f t="shared" ref="CL5" si="21">CK5+1</f>
        <v>46165</v>
      </c>
      <c r="CM5" s="28">
        <f t="shared" ref="CM5" si="22">CL5+1</f>
        <v>46166</v>
      </c>
      <c r="CN5" s="30">
        <f>CM5+1</f>
        <v>46167</v>
      </c>
      <c r="CO5" s="28">
        <f>CN5+1</f>
        <v>46168</v>
      </c>
      <c r="CP5" s="28">
        <f t="shared" ref="CP5" si="23">CO5+1</f>
        <v>46169</v>
      </c>
      <c r="CQ5" s="28">
        <f t="shared" ref="CQ5" si="24">CP5+1</f>
        <v>46170</v>
      </c>
      <c r="CR5" s="28">
        <f t="shared" ref="CR5" si="25">CQ5+1</f>
        <v>46171</v>
      </c>
      <c r="CS5" s="28">
        <f t="shared" ref="CS5" si="26">CR5+1</f>
        <v>46172</v>
      </c>
      <c r="CT5" s="28">
        <f t="shared" ref="CT5" si="27">CS5+1</f>
        <v>46173</v>
      </c>
      <c r="CU5" s="30">
        <f>CT5+1</f>
        <v>46174</v>
      </c>
      <c r="CV5" s="28">
        <f>CU5+1</f>
        <v>46175</v>
      </c>
      <c r="CW5" s="28">
        <f t="shared" ref="CW5" si="28">CV5+1</f>
        <v>46176</v>
      </c>
      <c r="CX5" s="28">
        <f t="shared" ref="CX5" si="29">CW5+1</f>
        <v>46177</v>
      </c>
      <c r="CY5" s="28">
        <f t="shared" ref="CY5" si="30">CX5+1</f>
        <v>46178</v>
      </c>
      <c r="CZ5" s="28">
        <f t="shared" ref="CZ5" si="31">CY5+1</f>
        <v>46179</v>
      </c>
      <c r="DA5" s="28">
        <f t="shared" ref="DA5" si="32">CZ5+1</f>
        <v>46180</v>
      </c>
      <c r="DB5" s="30">
        <f>DA5+1</f>
        <v>46181</v>
      </c>
      <c r="DC5" s="28">
        <f>DB5+1</f>
        <v>46182</v>
      </c>
      <c r="DD5" s="28">
        <f t="shared" ref="DD5" si="33">DC5+1</f>
        <v>46183</v>
      </c>
      <c r="DE5" s="28">
        <f t="shared" ref="DE5" si="34">DD5+1</f>
        <v>46184</v>
      </c>
      <c r="DF5" s="28">
        <f t="shared" ref="DF5" si="35">DE5+1</f>
        <v>46185</v>
      </c>
      <c r="DG5" s="28">
        <f t="shared" ref="DG5" si="36">DF5+1</f>
        <v>46186</v>
      </c>
      <c r="DH5" s="28">
        <f t="shared" ref="DH5" si="37">DG5+1</f>
        <v>46187</v>
      </c>
      <c r="DI5" s="30">
        <f>DH5+1</f>
        <v>46188</v>
      </c>
      <c r="DJ5" s="28">
        <f>DI5+1</f>
        <v>46189</v>
      </c>
      <c r="DK5" s="28">
        <f t="shared" ref="DK5" si="38">DJ5+1</f>
        <v>46190</v>
      </c>
      <c r="DL5" s="28">
        <f t="shared" ref="DL5" si="39">DK5+1</f>
        <v>46191</v>
      </c>
      <c r="DM5" s="28">
        <f t="shared" ref="DM5" si="40">DL5+1</f>
        <v>46192</v>
      </c>
      <c r="DN5" s="28">
        <f t="shared" ref="DN5" si="41">DM5+1</f>
        <v>46193</v>
      </c>
      <c r="DO5" s="28">
        <f t="shared" ref="DO5" si="42">DN5+1</f>
        <v>46194</v>
      </c>
      <c r="DP5" s="30">
        <f>DO5+1</f>
        <v>46195</v>
      </c>
      <c r="DQ5" s="28">
        <f>DP5+1</f>
        <v>46196</v>
      </c>
      <c r="DR5" s="28">
        <f t="shared" ref="DR5" si="43">DQ5+1</f>
        <v>46197</v>
      </c>
      <c r="DS5" s="28">
        <f t="shared" ref="DS5" si="44">DR5+1</f>
        <v>46198</v>
      </c>
      <c r="DT5" s="28">
        <f t="shared" ref="DT5" si="45">DS5+1</f>
        <v>46199</v>
      </c>
      <c r="DU5" s="28">
        <f t="shared" ref="DU5" si="46">DT5+1</f>
        <v>46200</v>
      </c>
      <c r="DV5" s="28">
        <f t="shared" ref="DV5" si="47">DU5+1</f>
        <v>46201</v>
      </c>
      <c r="DW5" s="30">
        <f>DV5+1</f>
        <v>46202</v>
      </c>
      <c r="DX5" s="28">
        <f>DW5+1</f>
        <v>46203</v>
      </c>
      <c r="DY5" s="28">
        <f t="shared" ref="DY5" si="48">DX5+1</f>
        <v>46204</v>
      </c>
      <c r="DZ5" s="28">
        <f t="shared" ref="DZ5" si="49">DY5+1</f>
        <v>46205</v>
      </c>
      <c r="EA5" s="28">
        <f t="shared" ref="EA5" si="50">DZ5+1</f>
        <v>46206</v>
      </c>
      <c r="EB5" s="28">
        <f t="shared" ref="EB5" si="51">EA5+1</f>
        <v>46207</v>
      </c>
      <c r="EC5" s="28">
        <f t="shared" ref="EC5" si="52">EB5+1</f>
        <v>46208</v>
      </c>
      <c r="ED5" s="30">
        <f>EC5+1</f>
        <v>46209</v>
      </c>
      <c r="EE5" s="28">
        <f>ED5+1</f>
        <v>46210</v>
      </c>
      <c r="EF5" s="28">
        <f t="shared" ref="EF5" si="53">EE5+1</f>
        <v>46211</v>
      </c>
      <c r="EG5" s="28">
        <f t="shared" ref="EG5" si="54">EF5+1</f>
        <v>46212</v>
      </c>
      <c r="EH5" s="28">
        <f t="shared" ref="EH5" si="55">EG5+1</f>
        <v>46213</v>
      </c>
      <c r="EI5" s="28">
        <f t="shared" ref="EI5" si="56">EH5+1</f>
        <v>46214</v>
      </c>
      <c r="EJ5" s="28">
        <f t="shared" ref="EJ5" si="57">EI5+1</f>
        <v>46215</v>
      </c>
      <c r="EK5" s="30">
        <f>EJ5+1</f>
        <v>46216</v>
      </c>
      <c r="EL5" s="28">
        <f>EK5+1</f>
        <v>46217</v>
      </c>
      <c r="EM5" s="28">
        <f t="shared" ref="EM5" si="58">EL5+1</f>
        <v>46218</v>
      </c>
      <c r="EN5" s="28">
        <f t="shared" ref="EN5" si="59">EM5+1</f>
        <v>46219</v>
      </c>
      <c r="EO5" s="28">
        <f t="shared" ref="EO5" si="60">EN5+1</f>
        <v>46220</v>
      </c>
      <c r="EP5" s="28">
        <f t="shared" ref="EP5" si="61">EO5+1</f>
        <v>46221</v>
      </c>
      <c r="EQ5" s="28">
        <f t="shared" ref="EQ5" si="62">EP5+1</f>
        <v>46222</v>
      </c>
      <c r="ER5" s="30">
        <f>EQ5+1</f>
        <v>46223</v>
      </c>
      <c r="ES5" s="28">
        <f>ER5+1</f>
        <v>46224</v>
      </c>
      <c r="ET5" s="28">
        <f t="shared" ref="ET5" si="63">ES5+1</f>
        <v>46225</v>
      </c>
      <c r="EU5" s="28">
        <f t="shared" ref="EU5" si="64">ET5+1</f>
        <v>46226</v>
      </c>
      <c r="EV5" s="28">
        <f t="shared" ref="EV5" si="65">EU5+1</f>
        <v>46227</v>
      </c>
      <c r="EW5" s="28">
        <f t="shared" ref="EW5" si="66">EV5+1</f>
        <v>46228</v>
      </c>
      <c r="EX5" s="28">
        <f t="shared" ref="EX5" si="67">EW5+1</f>
        <v>46229</v>
      </c>
      <c r="EY5" s="30">
        <f>EX5+1</f>
        <v>46230</v>
      </c>
      <c r="EZ5" s="28">
        <f>EY5+1</f>
        <v>46231</v>
      </c>
      <c r="FA5" s="28">
        <f t="shared" ref="FA5" si="68">EZ5+1</f>
        <v>46232</v>
      </c>
      <c r="FB5" s="28">
        <f t="shared" ref="FB5" si="69">FA5+1</f>
        <v>46233</v>
      </c>
      <c r="FC5" s="28">
        <f t="shared" ref="FC5" si="70">FB5+1</f>
        <v>46234</v>
      </c>
      <c r="FD5" s="28">
        <f t="shared" ref="FD5" si="71">FC5+1</f>
        <v>46235</v>
      </c>
      <c r="FE5" s="28">
        <f t="shared" ref="FE5" si="72">FD5+1</f>
        <v>46236</v>
      </c>
      <c r="FF5" s="30">
        <f>FE5+1</f>
        <v>46237</v>
      </c>
      <c r="FG5" s="28">
        <f>FF5+1</f>
        <v>46238</v>
      </c>
      <c r="FH5" s="28">
        <f t="shared" ref="FH5" si="73">FG5+1</f>
        <v>46239</v>
      </c>
      <c r="FI5" s="28">
        <f t="shared" ref="FI5" si="74">FH5+1</f>
        <v>46240</v>
      </c>
      <c r="FJ5" s="28">
        <f t="shared" ref="FJ5" si="75">FI5+1</f>
        <v>46241</v>
      </c>
      <c r="FK5" s="28">
        <f t="shared" ref="FK5" si="76">FJ5+1</f>
        <v>46242</v>
      </c>
      <c r="FL5" s="28">
        <f t="shared" ref="FL5" si="77">FK5+1</f>
        <v>46243</v>
      </c>
      <c r="FM5" s="30">
        <f>FL5+1</f>
        <v>46244</v>
      </c>
      <c r="FN5" s="28">
        <f>FM5+1</f>
        <v>46245</v>
      </c>
      <c r="FO5" s="28">
        <f t="shared" ref="FO5" si="78">FN5+1</f>
        <v>46246</v>
      </c>
      <c r="FP5" s="28">
        <f t="shared" ref="FP5" si="79">FO5+1</f>
        <v>46247</v>
      </c>
      <c r="FQ5" s="28">
        <f t="shared" ref="FQ5" si="80">FP5+1</f>
        <v>46248</v>
      </c>
      <c r="FR5" s="28">
        <f t="shared" ref="FR5" si="81">FQ5+1</f>
        <v>46249</v>
      </c>
      <c r="FS5" s="28">
        <f t="shared" ref="FS5" si="82">FR5+1</f>
        <v>46250</v>
      </c>
      <c r="FT5" s="30">
        <f>FS5+1</f>
        <v>46251</v>
      </c>
      <c r="FU5" s="28">
        <f>FT5+1</f>
        <v>46252</v>
      </c>
      <c r="FV5" s="28">
        <f t="shared" ref="FV5" si="83">FU5+1</f>
        <v>46253</v>
      </c>
      <c r="FW5" s="28">
        <f t="shared" ref="FW5" si="84">FV5+1</f>
        <v>46254</v>
      </c>
      <c r="FX5" s="28">
        <f t="shared" ref="FX5" si="85">FW5+1</f>
        <v>46255</v>
      </c>
      <c r="FY5" s="28">
        <f t="shared" ref="FY5" si="86">FX5+1</f>
        <v>46256</v>
      </c>
      <c r="FZ5" s="28">
        <f t="shared" ref="FZ5" si="87">FY5+1</f>
        <v>46257</v>
      </c>
      <c r="GA5" s="30">
        <f>FZ5+1</f>
        <v>46258</v>
      </c>
      <c r="GB5" s="28">
        <f>GA5+1</f>
        <v>46259</v>
      </c>
      <c r="GC5" s="28">
        <f t="shared" ref="GC5" si="88">GB5+1</f>
        <v>46260</v>
      </c>
      <c r="GD5" s="28">
        <f t="shared" ref="GD5" si="89">GC5+1</f>
        <v>46261</v>
      </c>
      <c r="GE5" s="28">
        <f t="shared" ref="GE5" si="90">GD5+1</f>
        <v>46262</v>
      </c>
      <c r="GF5" s="28">
        <f t="shared" ref="GF5" si="91">GE5+1</f>
        <v>46263</v>
      </c>
      <c r="GG5" s="28">
        <f t="shared" ref="GG5" si="92">GF5+1</f>
        <v>46264</v>
      </c>
      <c r="GH5" s="30">
        <f>GG5+1</f>
        <v>46265</v>
      </c>
      <c r="GI5" s="28">
        <f>GH5+1</f>
        <v>46266</v>
      </c>
      <c r="GJ5" s="28">
        <f t="shared" ref="GJ5" si="93">GI5+1</f>
        <v>46267</v>
      </c>
      <c r="GK5" s="28">
        <f t="shared" ref="GK5" si="94">GJ5+1</f>
        <v>46268</v>
      </c>
      <c r="GL5" s="28">
        <f t="shared" ref="GL5" si="95">GK5+1</f>
        <v>46269</v>
      </c>
      <c r="GM5" s="28">
        <f t="shared" ref="GM5" si="96">GL5+1</f>
        <v>46270</v>
      </c>
      <c r="GN5" s="28">
        <f t="shared" ref="GN5" si="97">GM5+1</f>
        <v>46271</v>
      </c>
      <c r="GO5" s="30">
        <f>GN5+1</f>
        <v>46272</v>
      </c>
      <c r="GP5" s="28">
        <f>GO5+1</f>
        <v>46273</v>
      </c>
      <c r="GQ5" s="28">
        <f t="shared" ref="GQ5" si="98">GP5+1</f>
        <v>46274</v>
      </c>
      <c r="GR5" s="28">
        <f t="shared" ref="GR5" si="99">GQ5+1</f>
        <v>46275</v>
      </c>
      <c r="GS5" s="28">
        <f t="shared" ref="GS5" si="100">GR5+1</f>
        <v>46276</v>
      </c>
      <c r="GT5" s="28">
        <f t="shared" ref="GT5" si="101">GS5+1</f>
        <v>46277</v>
      </c>
      <c r="GU5" s="28">
        <f t="shared" ref="GU5" si="102">GT5+1</f>
        <v>46278</v>
      </c>
      <c r="GV5" s="30">
        <f>GU5+1</f>
        <v>46279</v>
      </c>
      <c r="GW5" s="28">
        <f>GV5+1</f>
        <v>46280</v>
      </c>
      <c r="GX5" s="28">
        <f t="shared" ref="GX5" si="103">GW5+1</f>
        <v>46281</v>
      </c>
      <c r="GY5" s="28">
        <f t="shared" ref="GY5" si="104">GX5+1</f>
        <v>46282</v>
      </c>
      <c r="GZ5" s="28">
        <f t="shared" ref="GZ5" si="105">GY5+1</f>
        <v>46283</v>
      </c>
      <c r="HA5" s="28">
        <f t="shared" ref="HA5" si="106">GZ5+1</f>
        <v>46284</v>
      </c>
      <c r="HB5" s="28">
        <f t="shared" ref="HB5" si="107">HA5+1</f>
        <v>46285</v>
      </c>
      <c r="HC5" s="30">
        <f>HB5+1</f>
        <v>46286</v>
      </c>
      <c r="HD5" s="28">
        <f>HC5+1</f>
        <v>46287</v>
      </c>
      <c r="HE5" s="28">
        <f t="shared" ref="HE5" si="108">HD5+1</f>
        <v>46288</v>
      </c>
      <c r="HF5" s="28">
        <f t="shared" ref="HF5" si="109">HE5+1</f>
        <v>46289</v>
      </c>
      <c r="HG5" s="28">
        <f t="shared" ref="HG5" si="110">HF5+1</f>
        <v>46290</v>
      </c>
      <c r="HH5" s="28">
        <f t="shared" ref="HH5" si="111">HG5+1</f>
        <v>46291</v>
      </c>
      <c r="HI5" s="28">
        <f t="shared" ref="HI5" si="112">HH5+1</f>
        <v>46292</v>
      </c>
      <c r="HJ5" s="30">
        <f>HI5+1</f>
        <v>46293</v>
      </c>
      <c r="HK5" s="28">
        <f>HJ5+1</f>
        <v>46294</v>
      </c>
      <c r="HL5" s="28">
        <f t="shared" ref="HL5" si="113">HK5+1</f>
        <v>46295</v>
      </c>
      <c r="HM5" s="28">
        <f t="shared" ref="HM5" si="114">HL5+1</f>
        <v>46296</v>
      </c>
      <c r="HN5" s="28">
        <f t="shared" ref="HN5" si="115">HM5+1</f>
        <v>46297</v>
      </c>
      <c r="HO5" s="28">
        <f t="shared" ref="HO5" si="116">HN5+1</f>
        <v>46298</v>
      </c>
      <c r="HP5" s="28">
        <f t="shared" ref="HP5" si="117">HO5+1</f>
        <v>46299</v>
      </c>
      <c r="HQ5" s="30">
        <f>HP5+1</f>
        <v>46300</v>
      </c>
      <c r="HR5" s="28">
        <f>HQ5+1</f>
        <v>46301</v>
      </c>
      <c r="HS5" s="28">
        <f t="shared" ref="HS5" si="118">HR5+1</f>
        <v>46302</v>
      </c>
      <c r="HT5" s="28">
        <f t="shared" ref="HT5" si="119">HS5+1</f>
        <v>46303</v>
      </c>
      <c r="HU5" s="28">
        <f t="shared" ref="HU5" si="120">HT5+1</f>
        <v>46304</v>
      </c>
      <c r="HV5" s="28">
        <f t="shared" ref="HV5" si="121">HU5+1</f>
        <v>46305</v>
      </c>
      <c r="HW5" s="28">
        <f t="shared" ref="HW5" si="122">HV5+1</f>
        <v>46306</v>
      </c>
      <c r="HX5" s="30">
        <f>HW5+1</f>
        <v>46307</v>
      </c>
      <c r="HY5" s="28">
        <f>HX5+1</f>
        <v>46308</v>
      </c>
      <c r="HZ5" s="28">
        <f t="shared" ref="HZ5" si="123">HY5+1</f>
        <v>46309</v>
      </c>
      <c r="IA5" s="28">
        <f t="shared" ref="IA5" si="124">HZ5+1</f>
        <v>46310</v>
      </c>
      <c r="IB5" s="28">
        <f t="shared" ref="IB5" si="125">IA5+1</f>
        <v>46311</v>
      </c>
      <c r="IC5" s="28">
        <f t="shared" ref="IC5" si="126">IB5+1</f>
        <v>46312</v>
      </c>
      <c r="ID5" s="28">
        <f t="shared" ref="ID5" si="127">IC5+1</f>
        <v>46313</v>
      </c>
      <c r="IE5" s="30">
        <f>ID5+1</f>
        <v>46314</v>
      </c>
      <c r="IF5" s="28">
        <f>IE5+1</f>
        <v>46315</v>
      </c>
      <c r="IG5" s="28">
        <f t="shared" ref="IG5" si="128">IF5+1</f>
        <v>46316</v>
      </c>
      <c r="IH5" s="28">
        <f t="shared" ref="IH5" si="129">IG5+1</f>
        <v>46317</v>
      </c>
      <c r="II5" s="28">
        <f t="shared" ref="II5" si="130">IH5+1</f>
        <v>46318</v>
      </c>
      <c r="IJ5" s="28">
        <f t="shared" ref="IJ5" si="131">II5+1</f>
        <v>46319</v>
      </c>
      <c r="IK5" s="28">
        <f t="shared" ref="IK5" si="132">IJ5+1</f>
        <v>46320</v>
      </c>
      <c r="IL5" s="30">
        <f>IK5+1</f>
        <v>46321</v>
      </c>
      <c r="IM5" s="28">
        <f>IL5+1</f>
        <v>46322</v>
      </c>
      <c r="IN5" s="28">
        <f t="shared" ref="IN5" si="133">IM5+1</f>
        <v>46323</v>
      </c>
      <c r="IO5" s="28">
        <f t="shared" ref="IO5" si="134">IN5+1</f>
        <v>46324</v>
      </c>
      <c r="IP5" s="28">
        <f t="shared" ref="IP5" si="135">IO5+1</f>
        <v>46325</v>
      </c>
      <c r="IQ5" s="28">
        <f t="shared" ref="IQ5" si="136">IP5+1</f>
        <v>46326</v>
      </c>
      <c r="IR5" s="28">
        <f t="shared" ref="IR5" si="137">IQ5+1</f>
        <v>46327</v>
      </c>
      <c r="IS5" s="30">
        <f>IR5+1</f>
        <v>46328</v>
      </c>
      <c r="IT5" s="28">
        <f>IS5+1</f>
        <v>46329</v>
      </c>
      <c r="IU5" s="28">
        <f t="shared" ref="IU5" si="138">IT5+1</f>
        <v>46330</v>
      </c>
      <c r="IV5" s="28">
        <f t="shared" ref="IV5" si="139">IU5+1</f>
        <v>46331</v>
      </c>
      <c r="IW5" s="28">
        <f t="shared" ref="IW5" si="140">IV5+1</f>
        <v>46332</v>
      </c>
      <c r="IX5" s="28">
        <f t="shared" ref="IX5" si="141">IW5+1</f>
        <v>46333</v>
      </c>
      <c r="IY5" s="28">
        <f t="shared" ref="IY5" si="142">IX5+1</f>
        <v>46334</v>
      </c>
      <c r="IZ5" s="30">
        <f>IY5+1</f>
        <v>46335</v>
      </c>
      <c r="JA5" s="28">
        <f>IZ5+1</f>
        <v>46336</v>
      </c>
      <c r="JB5" s="28">
        <f t="shared" ref="JB5" si="143">JA5+1</f>
        <v>46337</v>
      </c>
      <c r="JC5" s="28">
        <f t="shared" ref="JC5" si="144">JB5+1</f>
        <v>46338</v>
      </c>
      <c r="JD5" s="28">
        <f t="shared" ref="JD5" si="145">JC5+1</f>
        <v>46339</v>
      </c>
      <c r="JE5" s="28">
        <f t="shared" ref="JE5" si="146">JD5+1</f>
        <v>46340</v>
      </c>
      <c r="JF5" s="28">
        <f t="shared" ref="JF5" si="147">JE5+1</f>
        <v>46341</v>
      </c>
      <c r="JG5" s="30">
        <f>JF5+1</f>
        <v>46342</v>
      </c>
      <c r="JH5" s="28">
        <f>JG5+1</f>
        <v>46343</v>
      </c>
      <c r="JI5" s="28">
        <f t="shared" ref="JI5" si="148">JH5+1</f>
        <v>46344</v>
      </c>
      <c r="JJ5" s="28">
        <f t="shared" ref="JJ5" si="149">JI5+1</f>
        <v>46345</v>
      </c>
      <c r="JK5" s="28">
        <f t="shared" ref="JK5" si="150">JJ5+1</f>
        <v>46346</v>
      </c>
      <c r="JL5" s="28">
        <f t="shared" ref="JL5" si="151">JK5+1</f>
        <v>46347</v>
      </c>
      <c r="JM5" s="28">
        <f t="shared" ref="JM5" si="152">JL5+1</f>
        <v>46348</v>
      </c>
    </row>
    <row r="6" spans="1:273" s="23" customFormat="1" ht="15" customHeight="1" thickBot="1" x14ac:dyDescent="0.35">
      <c r="A6" s="113"/>
      <c r="B6" s="115"/>
      <c r="C6" s="110"/>
      <c r="D6" s="110"/>
      <c r="E6" s="110"/>
      <c r="H6" s="31" t="str">
        <f t="shared" ref="H6:AM6" si="153">LEFT(TEXT(H5,"ddd"),1)</f>
        <v>M</v>
      </c>
      <c r="I6" s="32" t="str">
        <f t="shared" si="153"/>
        <v>T</v>
      </c>
      <c r="J6" s="32" t="str">
        <f t="shared" si="153"/>
        <v>W</v>
      </c>
      <c r="K6" s="32" t="str">
        <f t="shared" si="153"/>
        <v>T</v>
      </c>
      <c r="L6" s="32" t="str">
        <f t="shared" si="153"/>
        <v>F</v>
      </c>
      <c r="M6" s="32" t="str">
        <f t="shared" si="153"/>
        <v>S</v>
      </c>
      <c r="N6" s="32" t="str">
        <f t="shared" si="153"/>
        <v>S</v>
      </c>
      <c r="O6" s="32" t="str">
        <f t="shared" si="153"/>
        <v>M</v>
      </c>
      <c r="P6" s="32" t="str">
        <f t="shared" si="153"/>
        <v>T</v>
      </c>
      <c r="Q6" s="32" t="str">
        <f t="shared" si="153"/>
        <v>W</v>
      </c>
      <c r="R6" s="32" t="str">
        <f t="shared" si="153"/>
        <v>T</v>
      </c>
      <c r="S6" s="32" t="str">
        <f t="shared" si="153"/>
        <v>F</v>
      </c>
      <c r="T6" s="32" t="str">
        <f t="shared" si="153"/>
        <v>S</v>
      </c>
      <c r="U6" s="32" t="str">
        <f t="shared" si="153"/>
        <v>S</v>
      </c>
      <c r="V6" s="32" t="str">
        <f t="shared" si="153"/>
        <v>M</v>
      </c>
      <c r="W6" s="32" t="str">
        <f t="shared" si="153"/>
        <v>T</v>
      </c>
      <c r="X6" s="32" t="str">
        <f t="shared" si="153"/>
        <v>W</v>
      </c>
      <c r="Y6" s="32" t="str">
        <f t="shared" si="153"/>
        <v>T</v>
      </c>
      <c r="Z6" s="32" t="str">
        <f t="shared" si="153"/>
        <v>F</v>
      </c>
      <c r="AA6" s="32" t="str">
        <f t="shared" si="153"/>
        <v>S</v>
      </c>
      <c r="AB6" s="32" t="str">
        <f t="shared" si="153"/>
        <v>S</v>
      </c>
      <c r="AC6" s="32" t="str">
        <f t="shared" si="153"/>
        <v>M</v>
      </c>
      <c r="AD6" s="32" t="str">
        <f t="shared" si="153"/>
        <v>T</v>
      </c>
      <c r="AE6" s="32" t="str">
        <f t="shared" si="153"/>
        <v>W</v>
      </c>
      <c r="AF6" s="32" t="str">
        <f t="shared" si="153"/>
        <v>T</v>
      </c>
      <c r="AG6" s="32" t="str">
        <f t="shared" si="153"/>
        <v>F</v>
      </c>
      <c r="AH6" s="32" t="str">
        <f t="shared" si="153"/>
        <v>S</v>
      </c>
      <c r="AI6" s="32" t="str">
        <f t="shared" si="153"/>
        <v>S</v>
      </c>
      <c r="AJ6" s="32" t="str">
        <f t="shared" si="153"/>
        <v>M</v>
      </c>
      <c r="AK6" s="32" t="str">
        <f t="shared" si="153"/>
        <v>T</v>
      </c>
      <c r="AL6" s="32" t="str">
        <f t="shared" si="153"/>
        <v>W</v>
      </c>
      <c r="AM6" s="32" t="str">
        <f t="shared" si="153"/>
        <v>T</v>
      </c>
      <c r="AN6" s="32" t="str">
        <f t="shared" ref="AN6:BK6" si="154">LEFT(TEXT(AN5,"ddd"),1)</f>
        <v>F</v>
      </c>
      <c r="AO6" s="32" t="str">
        <f t="shared" si="154"/>
        <v>S</v>
      </c>
      <c r="AP6" s="32" t="str">
        <f t="shared" si="154"/>
        <v>S</v>
      </c>
      <c r="AQ6" s="32" t="str">
        <f t="shared" si="154"/>
        <v>M</v>
      </c>
      <c r="AR6" s="32" t="str">
        <f t="shared" si="154"/>
        <v>T</v>
      </c>
      <c r="AS6" s="32" t="str">
        <f t="shared" si="154"/>
        <v>W</v>
      </c>
      <c r="AT6" s="32" t="str">
        <f t="shared" si="154"/>
        <v>T</v>
      </c>
      <c r="AU6" s="32" t="str">
        <f t="shared" si="154"/>
        <v>F</v>
      </c>
      <c r="AV6" s="32" t="str">
        <f t="shared" si="154"/>
        <v>S</v>
      </c>
      <c r="AW6" s="32" t="str">
        <f t="shared" si="154"/>
        <v>S</v>
      </c>
      <c r="AX6" s="32" t="str">
        <f t="shared" si="154"/>
        <v>M</v>
      </c>
      <c r="AY6" s="32" t="str">
        <f t="shared" si="154"/>
        <v>T</v>
      </c>
      <c r="AZ6" s="32" t="str">
        <f t="shared" si="154"/>
        <v>W</v>
      </c>
      <c r="BA6" s="32" t="str">
        <f t="shared" si="154"/>
        <v>T</v>
      </c>
      <c r="BB6" s="32" t="str">
        <f t="shared" si="154"/>
        <v>F</v>
      </c>
      <c r="BC6" s="32" t="str">
        <f t="shared" si="154"/>
        <v>S</v>
      </c>
      <c r="BD6" s="32" t="str">
        <f t="shared" si="154"/>
        <v>S</v>
      </c>
      <c r="BE6" s="32" t="str">
        <f t="shared" si="154"/>
        <v>M</v>
      </c>
      <c r="BF6" s="32" t="str">
        <f t="shared" si="154"/>
        <v>T</v>
      </c>
      <c r="BG6" s="32" t="str">
        <f t="shared" si="154"/>
        <v>W</v>
      </c>
      <c r="BH6" s="32" t="str">
        <f t="shared" si="154"/>
        <v>T</v>
      </c>
      <c r="BI6" s="32" t="str">
        <f t="shared" si="154"/>
        <v>F</v>
      </c>
      <c r="BJ6" s="32" t="str">
        <f t="shared" si="154"/>
        <v>S</v>
      </c>
      <c r="BK6" s="33" t="str">
        <f t="shared" si="154"/>
        <v>S</v>
      </c>
      <c r="BL6" s="32" t="str">
        <f t="shared" ref="BL6:DW6" si="155">LEFT(TEXT(BL5,"ddd"),1)</f>
        <v>M</v>
      </c>
      <c r="BM6" s="32" t="str">
        <f t="shared" si="155"/>
        <v>T</v>
      </c>
      <c r="BN6" s="32" t="str">
        <f t="shared" si="155"/>
        <v>W</v>
      </c>
      <c r="BO6" s="32" t="str">
        <f t="shared" si="155"/>
        <v>T</v>
      </c>
      <c r="BP6" s="32" t="str">
        <f t="shared" si="155"/>
        <v>F</v>
      </c>
      <c r="BQ6" s="32" t="str">
        <f t="shared" si="155"/>
        <v>S</v>
      </c>
      <c r="BR6" s="33" t="str">
        <f t="shared" si="155"/>
        <v>S</v>
      </c>
      <c r="BS6" s="32" t="str">
        <f t="shared" si="155"/>
        <v>M</v>
      </c>
      <c r="BT6" s="32" t="str">
        <f t="shared" si="155"/>
        <v>T</v>
      </c>
      <c r="BU6" s="32" t="str">
        <f t="shared" si="155"/>
        <v>W</v>
      </c>
      <c r="BV6" s="32" t="str">
        <f t="shared" si="155"/>
        <v>T</v>
      </c>
      <c r="BW6" s="32" t="str">
        <f t="shared" si="155"/>
        <v>F</v>
      </c>
      <c r="BX6" s="32" t="str">
        <f t="shared" si="155"/>
        <v>S</v>
      </c>
      <c r="BY6" s="33" t="str">
        <f t="shared" si="155"/>
        <v>S</v>
      </c>
      <c r="BZ6" s="32" t="str">
        <f t="shared" si="155"/>
        <v>M</v>
      </c>
      <c r="CA6" s="32" t="str">
        <f t="shared" si="155"/>
        <v>T</v>
      </c>
      <c r="CB6" s="32" t="str">
        <f t="shared" si="155"/>
        <v>W</v>
      </c>
      <c r="CC6" s="32" t="str">
        <f t="shared" si="155"/>
        <v>T</v>
      </c>
      <c r="CD6" s="32" t="str">
        <f t="shared" si="155"/>
        <v>F</v>
      </c>
      <c r="CE6" s="32" t="str">
        <f t="shared" si="155"/>
        <v>S</v>
      </c>
      <c r="CF6" s="33" t="str">
        <f t="shared" si="155"/>
        <v>S</v>
      </c>
      <c r="CG6" s="32" t="str">
        <f t="shared" si="155"/>
        <v>M</v>
      </c>
      <c r="CH6" s="32" t="str">
        <f t="shared" si="155"/>
        <v>T</v>
      </c>
      <c r="CI6" s="32" t="str">
        <f t="shared" si="155"/>
        <v>W</v>
      </c>
      <c r="CJ6" s="32" t="str">
        <f t="shared" si="155"/>
        <v>T</v>
      </c>
      <c r="CK6" s="32" t="str">
        <f t="shared" si="155"/>
        <v>F</v>
      </c>
      <c r="CL6" s="32" t="str">
        <f t="shared" si="155"/>
        <v>S</v>
      </c>
      <c r="CM6" s="33" t="str">
        <f t="shared" si="155"/>
        <v>S</v>
      </c>
      <c r="CN6" s="32" t="str">
        <f t="shared" si="155"/>
        <v>M</v>
      </c>
      <c r="CO6" s="32" t="str">
        <f t="shared" si="155"/>
        <v>T</v>
      </c>
      <c r="CP6" s="32" t="str">
        <f t="shared" si="155"/>
        <v>W</v>
      </c>
      <c r="CQ6" s="32" t="str">
        <f t="shared" si="155"/>
        <v>T</v>
      </c>
      <c r="CR6" s="32" t="str">
        <f t="shared" si="155"/>
        <v>F</v>
      </c>
      <c r="CS6" s="32" t="str">
        <f t="shared" si="155"/>
        <v>S</v>
      </c>
      <c r="CT6" s="33" t="str">
        <f t="shared" si="155"/>
        <v>S</v>
      </c>
      <c r="CU6" s="32" t="str">
        <f t="shared" si="155"/>
        <v>M</v>
      </c>
      <c r="CV6" s="32" t="str">
        <f t="shared" si="155"/>
        <v>T</v>
      </c>
      <c r="CW6" s="32" t="str">
        <f t="shared" si="155"/>
        <v>W</v>
      </c>
      <c r="CX6" s="32" t="str">
        <f t="shared" si="155"/>
        <v>T</v>
      </c>
      <c r="CY6" s="32" t="str">
        <f t="shared" si="155"/>
        <v>F</v>
      </c>
      <c r="CZ6" s="32" t="str">
        <f t="shared" si="155"/>
        <v>S</v>
      </c>
      <c r="DA6" s="33" t="str">
        <f t="shared" si="155"/>
        <v>S</v>
      </c>
      <c r="DB6" s="32" t="str">
        <f t="shared" si="155"/>
        <v>M</v>
      </c>
      <c r="DC6" s="32" t="str">
        <f t="shared" si="155"/>
        <v>T</v>
      </c>
      <c r="DD6" s="32" t="str">
        <f t="shared" si="155"/>
        <v>W</v>
      </c>
      <c r="DE6" s="32" t="str">
        <f t="shared" si="155"/>
        <v>T</v>
      </c>
      <c r="DF6" s="32" t="str">
        <f t="shared" si="155"/>
        <v>F</v>
      </c>
      <c r="DG6" s="32" t="str">
        <f t="shared" si="155"/>
        <v>S</v>
      </c>
      <c r="DH6" s="33" t="str">
        <f t="shared" si="155"/>
        <v>S</v>
      </c>
      <c r="DI6" s="32" t="str">
        <f t="shared" si="155"/>
        <v>M</v>
      </c>
      <c r="DJ6" s="32" t="str">
        <f t="shared" si="155"/>
        <v>T</v>
      </c>
      <c r="DK6" s="32" t="str">
        <f t="shared" si="155"/>
        <v>W</v>
      </c>
      <c r="DL6" s="32" t="str">
        <f t="shared" si="155"/>
        <v>T</v>
      </c>
      <c r="DM6" s="32" t="str">
        <f t="shared" si="155"/>
        <v>F</v>
      </c>
      <c r="DN6" s="32" t="str">
        <f t="shared" si="155"/>
        <v>S</v>
      </c>
      <c r="DO6" s="33" t="str">
        <f t="shared" si="155"/>
        <v>S</v>
      </c>
      <c r="DP6" s="32" t="str">
        <f t="shared" si="155"/>
        <v>M</v>
      </c>
      <c r="DQ6" s="32" t="str">
        <f t="shared" si="155"/>
        <v>T</v>
      </c>
      <c r="DR6" s="32" t="str">
        <f t="shared" si="155"/>
        <v>W</v>
      </c>
      <c r="DS6" s="32" t="str">
        <f t="shared" si="155"/>
        <v>T</v>
      </c>
      <c r="DT6" s="32" t="str">
        <f t="shared" si="155"/>
        <v>F</v>
      </c>
      <c r="DU6" s="32" t="str">
        <f t="shared" si="155"/>
        <v>S</v>
      </c>
      <c r="DV6" s="33" t="str">
        <f t="shared" si="155"/>
        <v>S</v>
      </c>
      <c r="DW6" s="32" t="str">
        <f t="shared" si="155"/>
        <v>M</v>
      </c>
      <c r="DX6" s="32" t="str">
        <f t="shared" ref="DX6:GI6" si="156">LEFT(TEXT(DX5,"ddd"),1)</f>
        <v>T</v>
      </c>
      <c r="DY6" s="32" t="str">
        <f t="shared" si="156"/>
        <v>W</v>
      </c>
      <c r="DZ6" s="32" t="str">
        <f t="shared" si="156"/>
        <v>T</v>
      </c>
      <c r="EA6" s="32" t="str">
        <f t="shared" si="156"/>
        <v>F</v>
      </c>
      <c r="EB6" s="32" t="str">
        <f t="shared" si="156"/>
        <v>S</v>
      </c>
      <c r="EC6" s="33" t="str">
        <f t="shared" si="156"/>
        <v>S</v>
      </c>
      <c r="ED6" s="32" t="str">
        <f t="shared" si="156"/>
        <v>M</v>
      </c>
      <c r="EE6" s="32" t="str">
        <f t="shared" si="156"/>
        <v>T</v>
      </c>
      <c r="EF6" s="32" t="str">
        <f t="shared" si="156"/>
        <v>W</v>
      </c>
      <c r="EG6" s="32" t="str">
        <f t="shared" si="156"/>
        <v>T</v>
      </c>
      <c r="EH6" s="32" t="str">
        <f t="shared" si="156"/>
        <v>F</v>
      </c>
      <c r="EI6" s="32" t="str">
        <f t="shared" si="156"/>
        <v>S</v>
      </c>
      <c r="EJ6" s="33" t="str">
        <f t="shared" si="156"/>
        <v>S</v>
      </c>
      <c r="EK6" s="32" t="str">
        <f t="shared" si="156"/>
        <v>M</v>
      </c>
      <c r="EL6" s="32" t="str">
        <f t="shared" si="156"/>
        <v>T</v>
      </c>
      <c r="EM6" s="32" t="str">
        <f t="shared" si="156"/>
        <v>W</v>
      </c>
      <c r="EN6" s="32" t="str">
        <f t="shared" si="156"/>
        <v>T</v>
      </c>
      <c r="EO6" s="32" t="str">
        <f t="shared" si="156"/>
        <v>F</v>
      </c>
      <c r="EP6" s="32" t="str">
        <f t="shared" si="156"/>
        <v>S</v>
      </c>
      <c r="EQ6" s="33" t="str">
        <f t="shared" si="156"/>
        <v>S</v>
      </c>
      <c r="ER6" s="32" t="str">
        <f t="shared" si="156"/>
        <v>M</v>
      </c>
      <c r="ES6" s="32" t="str">
        <f t="shared" si="156"/>
        <v>T</v>
      </c>
      <c r="ET6" s="32" t="str">
        <f t="shared" si="156"/>
        <v>W</v>
      </c>
      <c r="EU6" s="32" t="str">
        <f t="shared" si="156"/>
        <v>T</v>
      </c>
      <c r="EV6" s="32" t="str">
        <f t="shared" si="156"/>
        <v>F</v>
      </c>
      <c r="EW6" s="32" t="str">
        <f t="shared" si="156"/>
        <v>S</v>
      </c>
      <c r="EX6" s="33" t="str">
        <f t="shared" si="156"/>
        <v>S</v>
      </c>
      <c r="EY6" s="32" t="str">
        <f t="shared" si="156"/>
        <v>M</v>
      </c>
      <c r="EZ6" s="32" t="str">
        <f t="shared" si="156"/>
        <v>T</v>
      </c>
      <c r="FA6" s="32" t="str">
        <f t="shared" si="156"/>
        <v>W</v>
      </c>
      <c r="FB6" s="32" t="str">
        <f t="shared" si="156"/>
        <v>T</v>
      </c>
      <c r="FC6" s="32" t="str">
        <f t="shared" si="156"/>
        <v>F</v>
      </c>
      <c r="FD6" s="32" t="str">
        <f t="shared" si="156"/>
        <v>S</v>
      </c>
      <c r="FE6" s="33" t="str">
        <f t="shared" si="156"/>
        <v>S</v>
      </c>
      <c r="FF6" s="32" t="str">
        <f t="shared" si="156"/>
        <v>M</v>
      </c>
      <c r="FG6" s="32" t="str">
        <f t="shared" si="156"/>
        <v>T</v>
      </c>
      <c r="FH6" s="32" t="str">
        <f t="shared" si="156"/>
        <v>W</v>
      </c>
      <c r="FI6" s="32" t="str">
        <f t="shared" si="156"/>
        <v>T</v>
      </c>
      <c r="FJ6" s="32" t="str">
        <f t="shared" si="156"/>
        <v>F</v>
      </c>
      <c r="FK6" s="32" t="str">
        <f t="shared" si="156"/>
        <v>S</v>
      </c>
      <c r="FL6" s="33" t="str">
        <f t="shared" si="156"/>
        <v>S</v>
      </c>
      <c r="FM6" s="32" t="str">
        <f t="shared" si="156"/>
        <v>M</v>
      </c>
      <c r="FN6" s="32" t="str">
        <f t="shared" si="156"/>
        <v>T</v>
      </c>
      <c r="FO6" s="32" t="str">
        <f t="shared" si="156"/>
        <v>W</v>
      </c>
      <c r="FP6" s="32" t="str">
        <f t="shared" si="156"/>
        <v>T</v>
      </c>
      <c r="FQ6" s="32" t="str">
        <f t="shared" si="156"/>
        <v>F</v>
      </c>
      <c r="FR6" s="32" t="str">
        <f t="shared" si="156"/>
        <v>S</v>
      </c>
      <c r="FS6" s="33" t="str">
        <f t="shared" si="156"/>
        <v>S</v>
      </c>
      <c r="FT6" s="32" t="str">
        <f t="shared" si="156"/>
        <v>M</v>
      </c>
      <c r="FU6" s="32" t="str">
        <f t="shared" si="156"/>
        <v>T</v>
      </c>
      <c r="FV6" s="32" t="str">
        <f t="shared" si="156"/>
        <v>W</v>
      </c>
      <c r="FW6" s="32" t="str">
        <f t="shared" si="156"/>
        <v>T</v>
      </c>
      <c r="FX6" s="32" t="str">
        <f t="shared" si="156"/>
        <v>F</v>
      </c>
      <c r="FY6" s="32" t="str">
        <f t="shared" si="156"/>
        <v>S</v>
      </c>
      <c r="FZ6" s="33" t="str">
        <f t="shared" si="156"/>
        <v>S</v>
      </c>
      <c r="GA6" s="32" t="str">
        <f t="shared" si="156"/>
        <v>M</v>
      </c>
      <c r="GB6" s="32" t="str">
        <f t="shared" si="156"/>
        <v>T</v>
      </c>
      <c r="GC6" s="32" t="str">
        <f t="shared" si="156"/>
        <v>W</v>
      </c>
      <c r="GD6" s="32" t="str">
        <f t="shared" si="156"/>
        <v>T</v>
      </c>
      <c r="GE6" s="32" t="str">
        <f t="shared" si="156"/>
        <v>F</v>
      </c>
      <c r="GF6" s="32" t="str">
        <f t="shared" si="156"/>
        <v>S</v>
      </c>
      <c r="GG6" s="33" t="str">
        <f t="shared" si="156"/>
        <v>S</v>
      </c>
      <c r="GH6" s="32" t="str">
        <f t="shared" si="156"/>
        <v>M</v>
      </c>
      <c r="GI6" s="32" t="str">
        <f t="shared" si="156"/>
        <v>T</v>
      </c>
      <c r="GJ6" s="32" t="str">
        <f t="shared" ref="GJ6:IU6" si="157">LEFT(TEXT(GJ5,"ddd"),1)</f>
        <v>W</v>
      </c>
      <c r="GK6" s="32" t="str">
        <f t="shared" si="157"/>
        <v>T</v>
      </c>
      <c r="GL6" s="32" t="str">
        <f t="shared" si="157"/>
        <v>F</v>
      </c>
      <c r="GM6" s="32" t="str">
        <f t="shared" si="157"/>
        <v>S</v>
      </c>
      <c r="GN6" s="33" t="str">
        <f t="shared" si="157"/>
        <v>S</v>
      </c>
      <c r="GO6" s="32" t="str">
        <f t="shared" si="157"/>
        <v>M</v>
      </c>
      <c r="GP6" s="32" t="str">
        <f t="shared" si="157"/>
        <v>T</v>
      </c>
      <c r="GQ6" s="32" t="str">
        <f t="shared" si="157"/>
        <v>W</v>
      </c>
      <c r="GR6" s="32" t="str">
        <f t="shared" si="157"/>
        <v>T</v>
      </c>
      <c r="GS6" s="32" t="str">
        <f t="shared" si="157"/>
        <v>F</v>
      </c>
      <c r="GT6" s="32" t="str">
        <f t="shared" si="157"/>
        <v>S</v>
      </c>
      <c r="GU6" s="33" t="str">
        <f t="shared" si="157"/>
        <v>S</v>
      </c>
      <c r="GV6" s="32" t="str">
        <f t="shared" si="157"/>
        <v>M</v>
      </c>
      <c r="GW6" s="32" t="str">
        <f t="shared" si="157"/>
        <v>T</v>
      </c>
      <c r="GX6" s="32" t="str">
        <f t="shared" si="157"/>
        <v>W</v>
      </c>
      <c r="GY6" s="32" t="str">
        <f t="shared" si="157"/>
        <v>T</v>
      </c>
      <c r="GZ6" s="32" t="str">
        <f t="shared" si="157"/>
        <v>F</v>
      </c>
      <c r="HA6" s="32" t="str">
        <f t="shared" si="157"/>
        <v>S</v>
      </c>
      <c r="HB6" s="33" t="str">
        <f t="shared" si="157"/>
        <v>S</v>
      </c>
      <c r="HC6" s="32" t="str">
        <f t="shared" si="157"/>
        <v>M</v>
      </c>
      <c r="HD6" s="32" t="str">
        <f t="shared" si="157"/>
        <v>T</v>
      </c>
      <c r="HE6" s="32" t="str">
        <f t="shared" si="157"/>
        <v>W</v>
      </c>
      <c r="HF6" s="32" t="str">
        <f t="shared" si="157"/>
        <v>T</v>
      </c>
      <c r="HG6" s="32" t="str">
        <f t="shared" si="157"/>
        <v>F</v>
      </c>
      <c r="HH6" s="32" t="str">
        <f t="shared" si="157"/>
        <v>S</v>
      </c>
      <c r="HI6" s="33" t="str">
        <f t="shared" si="157"/>
        <v>S</v>
      </c>
      <c r="HJ6" s="32" t="str">
        <f t="shared" si="157"/>
        <v>M</v>
      </c>
      <c r="HK6" s="32" t="str">
        <f t="shared" si="157"/>
        <v>T</v>
      </c>
      <c r="HL6" s="32" t="str">
        <f t="shared" si="157"/>
        <v>W</v>
      </c>
      <c r="HM6" s="32" t="str">
        <f t="shared" si="157"/>
        <v>T</v>
      </c>
      <c r="HN6" s="32" t="str">
        <f t="shared" si="157"/>
        <v>F</v>
      </c>
      <c r="HO6" s="32" t="str">
        <f t="shared" si="157"/>
        <v>S</v>
      </c>
      <c r="HP6" s="33" t="str">
        <f t="shared" si="157"/>
        <v>S</v>
      </c>
      <c r="HQ6" s="32" t="str">
        <f t="shared" si="157"/>
        <v>M</v>
      </c>
      <c r="HR6" s="32" t="str">
        <f t="shared" si="157"/>
        <v>T</v>
      </c>
      <c r="HS6" s="32" t="str">
        <f t="shared" si="157"/>
        <v>W</v>
      </c>
      <c r="HT6" s="32" t="str">
        <f t="shared" si="157"/>
        <v>T</v>
      </c>
      <c r="HU6" s="32" t="str">
        <f t="shared" si="157"/>
        <v>F</v>
      </c>
      <c r="HV6" s="32" t="str">
        <f t="shared" si="157"/>
        <v>S</v>
      </c>
      <c r="HW6" s="33" t="str">
        <f t="shared" si="157"/>
        <v>S</v>
      </c>
      <c r="HX6" s="32" t="str">
        <f t="shared" si="157"/>
        <v>M</v>
      </c>
      <c r="HY6" s="32" t="str">
        <f t="shared" si="157"/>
        <v>T</v>
      </c>
      <c r="HZ6" s="32" t="str">
        <f t="shared" si="157"/>
        <v>W</v>
      </c>
      <c r="IA6" s="32" t="str">
        <f t="shared" si="157"/>
        <v>T</v>
      </c>
      <c r="IB6" s="32" t="str">
        <f t="shared" si="157"/>
        <v>F</v>
      </c>
      <c r="IC6" s="32" t="str">
        <f t="shared" si="157"/>
        <v>S</v>
      </c>
      <c r="ID6" s="33" t="str">
        <f t="shared" si="157"/>
        <v>S</v>
      </c>
      <c r="IE6" s="32" t="str">
        <f t="shared" si="157"/>
        <v>M</v>
      </c>
      <c r="IF6" s="32" t="str">
        <f t="shared" si="157"/>
        <v>T</v>
      </c>
      <c r="IG6" s="32" t="str">
        <f t="shared" si="157"/>
        <v>W</v>
      </c>
      <c r="IH6" s="32" t="str">
        <f t="shared" si="157"/>
        <v>T</v>
      </c>
      <c r="II6" s="32" t="str">
        <f t="shared" si="157"/>
        <v>F</v>
      </c>
      <c r="IJ6" s="32" t="str">
        <f t="shared" si="157"/>
        <v>S</v>
      </c>
      <c r="IK6" s="33" t="str">
        <f t="shared" si="157"/>
        <v>S</v>
      </c>
      <c r="IL6" s="32" t="str">
        <f t="shared" si="157"/>
        <v>M</v>
      </c>
      <c r="IM6" s="32" t="str">
        <f t="shared" si="157"/>
        <v>T</v>
      </c>
      <c r="IN6" s="32" t="str">
        <f t="shared" si="157"/>
        <v>W</v>
      </c>
      <c r="IO6" s="32" t="str">
        <f t="shared" si="157"/>
        <v>T</v>
      </c>
      <c r="IP6" s="32" t="str">
        <f t="shared" si="157"/>
        <v>F</v>
      </c>
      <c r="IQ6" s="32" t="str">
        <f t="shared" si="157"/>
        <v>S</v>
      </c>
      <c r="IR6" s="33" t="str">
        <f t="shared" si="157"/>
        <v>S</v>
      </c>
      <c r="IS6" s="32" t="str">
        <f t="shared" si="157"/>
        <v>M</v>
      </c>
      <c r="IT6" s="32" t="str">
        <f t="shared" si="157"/>
        <v>T</v>
      </c>
      <c r="IU6" s="32" t="str">
        <f t="shared" si="157"/>
        <v>W</v>
      </c>
      <c r="IV6" s="32" t="str">
        <f t="shared" ref="IV6:JM6" si="158">LEFT(TEXT(IV5,"ddd"),1)</f>
        <v>T</v>
      </c>
      <c r="IW6" s="32" t="str">
        <f t="shared" si="158"/>
        <v>F</v>
      </c>
      <c r="IX6" s="32" t="str">
        <f t="shared" si="158"/>
        <v>S</v>
      </c>
      <c r="IY6" s="33" t="str">
        <f t="shared" si="158"/>
        <v>S</v>
      </c>
      <c r="IZ6" s="32" t="str">
        <f t="shared" si="158"/>
        <v>M</v>
      </c>
      <c r="JA6" s="32" t="str">
        <f t="shared" si="158"/>
        <v>T</v>
      </c>
      <c r="JB6" s="32" t="str">
        <f t="shared" si="158"/>
        <v>W</v>
      </c>
      <c r="JC6" s="32" t="str">
        <f t="shared" si="158"/>
        <v>T</v>
      </c>
      <c r="JD6" s="32" t="str">
        <f t="shared" si="158"/>
        <v>F</v>
      </c>
      <c r="JE6" s="32" t="str">
        <f t="shared" si="158"/>
        <v>S</v>
      </c>
      <c r="JF6" s="33" t="str">
        <f t="shared" si="158"/>
        <v>S</v>
      </c>
      <c r="JG6" s="32" t="str">
        <f t="shared" si="158"/>
        <v>M</v>
      </c>
      <c r="JH6" s="32" t="str">
        <f t="shared" si="158"/>
        <v>T</v>
      </c>
      <c r="JI6" s="32" t="str">
        <f t="shared" si="158"/>
        <v>W</v>
      </c>
      <c r="JJ6" s="32" t="str">
        <f t="shared" si="158"/>
        <v>T</v>
      </c>
      <c r="JK6" s="32" t="str">
        <f t="shared" si="158"/>
        <v>F</v>
      </c>
      <c r="JL6" s="32" t="str">
        <f t="shared" si="158"/>
        <v>S</v>
      </c>
      <c r="JM6" s="33" t="str">
        <f t="shared" si="158"/>
        <v>S</v>
      </c>
    </row>
    <row r="7" spans="1:273" s="23" customFormat="1" ht="30" hidden="1" customHeight="1" thickBot="1" x14ac:dyDescent="0.35">
      <c r="A7" s="12" t="s">
        <v>7</v>
      </c>
      <c r="B7" s="34"/>
      <c r="C7" s="34"/>
      <c r="D7" s="34"/>
      <c r="E7" s="34"/>
      <c r="G7" s="23" t="str">
        <f>IF(OR(ISBLANK(task_start),ISBLANK(task_end)),"",task_end-task_start+1)</f>
        <v/>
      </c>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row>
    <row r="8" spans="1:273" s="41" customFormat="1" ht="30" customHeight="1" thickBot="1" x14ac:dyDescent="0.35">
      <c r="A8" s="13"/>
      <c r="B8" s="36" t="s">
        <v>32</v>
      </c>
      <c r="C8" s="37"/>
      <c r="D8" s="38"/>
      <c r="E8" s="39"/>
      <c r="F8" s="15"/>
      <c r="G8" s="4" t="str">
        <f t="shared" ref="G8:G33" si="159">IF(OR(ISBLANK(task_start),ISBLANK(task_end)),"",task_end-task_start+1)</f>
        <v/>
      </c>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c r="GW8" s="40"/>
      <c r="GX8" s="40"/>
      <c r="GY8" s="40"/>
      <c r="GZ8" s="40"/>
      <c r="HA8" s="40"/>
      <c r="HB8" s="40"/>
      <c r="HC8" s="40"/>
      <c r="HD8" s="40"/>
      <c r="HE8" s="40"/>
      <c r="HF8" s="40"/>
      <c r="HG8" s="40"/>
      <c r="HH8" s="40"/>
      <c r="HI8" s="40"/>
      <c r="HJ8" s="40"/>
      <c r="HK8" s="40"/>
      <c r="HL8" s="40"/>
      <c r="HM8" s="40"/>
      <c r="HN8" s="40"/>
      <c r="HO8" s="40"/>
      <c r="HP8" s="40"/>
      <c r="HQ8" s="40"/>
      <c r="HR8" s="40"/>
      <c r="HS8" s="40"/>
      <c r="HT8" s="40"/>
      <c r="HU8" s="40"/>
      <c r="HV8" s="40"/>
      <c r="HW8" s="40"/>
      <c r="HX8" s="40"/>
      <c r="HY8" s="40"/>
      <c r="HZ8" s="40"/>
      <c r="IA8" s="40"/>
      <c r="IB8" s="40"/>
      <c r="IC8" s="40"/>
      <c r="ID8" s="40"/>
      <c r="IE8" s="40"/>
      <c r="IF8" s="40"/>
      <c r="IG8" s="40"/>
      <c r="IH8" s="40"/>
      <c r="II8" s="40"/>
      <c r="IJ8" s="40"/>
      <c r="IK8" s="40"/>
      <c r="IL8" s="40"/>
      <c r="IM8" s="40"/>
      <c r="IN8" s="40"/>
      <c r="IO8" s="40"/>
      <c r="IP8" s="40"/>
      <c r="IQ8" s="40"/>
      <c r="IR8" s="40"/>
      <c r="IS8" s="40"/>
      <c r="IT8" s="40"/>
      <c r="IU8" s="40"/>
      <c r="IV8" s="40"/>
      <c r="IW8" s="40"/>
      <c r="IX8" s="40"/>
      <c r="IY8" s="40"/>
      <c r="IZ8" s="40"/>
      <c r="JA8" s="40"/>
      <c r="JB8" s="40"/>
      <c r="JC8" s="40"/>
      <c r="JD8" s="40"/>
      <c r="JE8" s="40"/>
      <c r="JF8" s="40"/>
      <c r="JG8" s="40"/>
      <c r="JH8" s="40"/>
      <c r="JI8" s="40"/>
      <c r="JJ8" s="40"/>
      <c r="JK8" s="40"/>
      <c r="JL8" s="40"/>
      <c r="JM8" s="40"/>
    </row>
    <row r="9" spans="1:273" s="41" customFormat="1" ht="30" customHeight="1" thickBot="1" x14ac:dyDescent="0.35">
      <c r="A9" s="13"/>
      <c r="B9" s="42" t="s">
        <v>24</v>
      </c>
      <c r="C9" s="43"/>
      <c r="D9" s="44">
        <f>Project_Start</f>
        <v>46083</v>
      </c>
      <c r="E9" s="44">
        <f>D9+7</f>
        <v>46090</v>
      </c>
      <c r="F9" s="15"/>
      <c r="G9" s="4">
        <f t="shared" si="159"/>
        <v>8</v>
      </c>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45"/>
      <c r="ES9" s="45"/>
      <c r="ET9" s="45"/>
      <c r="EU9" s="45"/>
      <c r="EV9" s="45"/>
      <c r="EW9" s="45"/>
      <c r="EX9" s="45"/>
      <c r="EY9" s="45"/>
      <c r="EZ9" s="45"/>
      <c r="FA9" s="45"/>
      <c r="FB9" s="45"/>
      <c r="FC9" s="45"/>
      <c r="FD9" s="45"/>
      <c r="FE9" s="45"/>
      <c r="FF9" s="45"/>
      <c r="FG9" s="45"/>
      <c r="FH9" s="45"/>
      <c r="FI9" s="45"/>
      <c r="FJ9" s="45"/>
      <c r="FK9" s="45"/>
      <c r="FL9" s="45"/>
      <c r="FM9" s="45"/>
      <c r="FN9" s="45"/>
      <c r="FO9" s="45"/>
      <c r="FP9" s="45"/>
      <c r="FQ9" s="45"/>
      <c r="FR9" s="45"/>
      <c r="FS9" s="45"/>
      <c r="FT9" s="45"/>
      <c r="FU9" s="45"/>
      <c r="FV9" s="45"/>
      <c r="FW9" s="45"/>
      <c r="FX9" s="45"/>
      <c r="FY9" s="45"/>
      <c r="FZ9" s="45"/>
      <c r="GA9" s="45"/>
      <c r="GB9" s="45"/>
      <c r="GC9" s="45"/>
      <c r="GD9" s="45"/>
      <c r="GE9" s="45"/>
      <c r="GF9" s="45"/>
      <c r="GG9" s="45"/>
      <c r="GH9" s="45"/>
      <c r="GI9" s="45"/>
      <c r="GJ9" s="45"/>
      <c r="GK9" s="45"/>
      <c r="GL9" s="45"/>
      <c r="GM9" s="45"/>
      <c r="GN9" s="45"/>
      <c r="GO9" s="45"/>
      <c r="GP9" s="45"/>
      <c r="GQ9" s="45"/>
      <c r="GR9" s="45"/>
      <c r="GS9" s="45"/>
      <c r="GT9" s="45"/>
      <c r="GU9" s="45"/>
      <c r="GV9" s="45"/>
      <c r="GW9" s="45"/>
      <c r="GX9" s="45"/>
      <c r="GY9" s="45"/>
      <c r="GZ9" s="45"/>
      <c r="HA9" s="45"/>
      <c r="HB9" s="45"/>
      <c r="HC9" s="45"/>
      <c r="HD9" s="45"/>
      <c r="HE9" s="45"/>
      <c r="HF9" s="45"/>
      <c r="HG9" s="45"/>
      <c r="HH9" s="45"/>
      <c r="HI9" s="45"/>
      <c r="HJ9" s="45"/>
      <c r="HK9" s="45"/>
      <c r="HL9" s="45"/>
      <c r="HM9" s="45"/>
      <c r="HN9" s="45"/>
      <c r="HO9" s="45"/>
      <c r="HP9" s="45"/>
      <c r="HQ9" s="45"/>
      <c r="HR9" s="45"/>
      <c r="HS9" s="45"/>
      <c r="HT9" s="45"/>
      <c r="HU9" s="45"/>
      <c r="HV9" s="45"/>
      <c r="HW9" s="45"/>
      <c r="HX9" s="45"/>
      <c r="HY9" s="45"/>
      <c r="HZ9" s="45"/>
      <c r="IA9" s="45"/>
      <c r="IB9" s="45"/>
      <c r="IC9" s="45"/>
      <c r="ID9" s="45"/>
      <c r="IE9" s="45"/>
      <c r="IF9" s="45"/>
      <c r="IG9" s="45"/>
      <c r="IH9" s="45"/>
      <c r="II9" s="45"/>
      <c r="IJ9" s="45"/>
      <c r="IK9" s="45"/>
      <c r="IL9" s="45"/>
      <c r="IM9" s="45"/>
      <c r="IN9" s="45"/>
      <c r="IO9" s="45"/>
      <c r="IP9" s="45"/>
      <c r="IQ9" s="45"/>
      <c r="IR9" s="45"/>
      <c r="IS9" s="45"/>
      <c r="IT9" s="45"/>
      <c r="IU9" s="45"/>
      <c r="IV9" s="45"/>
      <c r="IW9" s="45"/>
      <c r="IX9" s="45"/>
      <c r="IY9" s="45"/>
      <c r="IZ9" s="45"/>
      <c r="JA9" s="45"/>
      <c r="JB9" s="45"/>
      <c r="JC9" s="45"/>
      <c r="JD9" s="45"/>
      <c r="JE9" s="45"/>
      <c r="JF9" s="45"/>
      <c r="JG9" s="45"/>
      <c r="JH9" s="45"/>
      <c r="JI9" s="45"/>
      <c r="JJ9" s="45"/>
      <c r="JK9" s="45"/>
      <c r="JL9" s="45"/>
      <c r="JM9" s="45"/>
    </row>
    <row r="10" spans="1:273" s="41" customFormat="1" ht="30" customHeight="1" thickBot="1" x14ac:dyDescent="0.35">
      <c r="A10" s="13"/>
      <c r="B10" s="46" t="s">
        <v>26</v>
      </c>
      <c r="C10" s="47"/>
      <c r="D10" s="48">
        <f>DATE(2026, 3, 9)</f>
        <v>46090</v>
      </c>
      <c r="E10" s="48">
        <f>D10+14</f>
        <v>46104</v>
      </c>
      <c r="F10" s="15"/>
      <c r="G10" s="4">
        <f t="shared" si="159"/>
        <v>15</v>
      </c>
      <c r="H10" s="45"/>
      <c r="I10" s="45"/>
      <c r="J10" s="45"/>
      <c r="K10" s="45"/>
      <c r="L10" s="45"/>
      <c r="M10" s="45"/>
      <c r="N10" s="45"/>
      <c r="O10" s="45"/>
      <c r="P10" s="45"/>
      <c r="Q10" s="45"/>
      <c r="R10" s="45"/>
      <c r="S10" s="45"/>
      <c r="T10" s="49"/>
      <c r="U10" s="49"/>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45"/>
      <c r="ES10" s="45"/>
      <c r="ET10" s="45"/>
      <c r="EU10" s="45"/>
      <c r="EV10" s="45"/>
      <c r="EW10" s="45"/>
      <c r="EX10" s="45"/>
      <c r="EY10" s="45"/>
      <c r="EZ10" s="45"/>
      <c r="FA10" s="45"/>
      <c r="FB10" s="45"/>
      <c r="FC10" s="45"/>
      <c r="FD10" s="45"/>
      <c r="FE10" s="45"/>
      <c r="FF10" s="45"/>
      <c r="FG10" s="45"/>
      <c r="FH10" s="45"/>
      <c r="FI10" s="45"/>
      <c r="FJ10" s="45"/>
      <c r="FK10" s="45"/>
      <c r="FL10" s="45"/>
      <c r="FM10" s="45"/>
      <c r="FN10" s="45"/>
      <c r="FO10" s="45"/>
      <c r="FP10" s="45"/>
      <c r="FQ10" s="45"/>
      <c r="FR10" s="45"/>
      <c r="FS10" s="45"/>
      <c r="FT10" s="45"/>
      <c r="FU10" s="45"/>
      <c r="FV10" s="45"/>
      <c r="FW10" s="45"/>
      <c r="FX10" s="45"/>
      <c r="FY10" s="45"/>
      <c r="FZ10" s="45"/>
      <c r="GA10" s="45"/>
      <c r="GB10" s="45"/>
      <c r="GC10" s="45"/>
      <c r="GD10" s="45"/>
      <c r="GE10" s="45"/>
      <c r="GF10" s="45"/>
      <c r="GG10" s="45"/>
      <c r="GH10" s="45"/>
      <c r="GI10" s="45"/>
      <c r="GJ10" s="45"/>
      <c r="GK10" s="45"/>
      <c r="GL10" s="45"/>
      <c r="GM10" s="45"/>
      <c r="GN10" s="45"/>
      <c r="GO10" s="45"/>
      <c r="GP10" s="45"/>
      <c r="GQ10" s="45"/>
      <c r="GR10" s="45"/>
      <c r="GS10" s="45"/>
      <c r="GT10" s="45"/>
      <c r="GU10" s="45"/>
      <c r="GV10" s="45"/>
      <c r="GW10" s="45"/>
      <c r="GX10" s="45"/>
      <c r="GY10" s="45"/>
      <c r="GZ10" s="45"/>
      <c r="HA10" s="45"/>
      <c r="HB10" s="45"/>
      <c r="HC10" s="45"/>
      <c r="HD10" s="45"/>
      <c r="HE10" s="45"/>
      <c r="HF10" s="45"/>
      <c r="HG10" s="45"/>
      <c r="HH10" s="45"/>
      <c r="HI10" s="45"/>
      <c r="HJ10" s="45"/>
      <c r="HK10" s="45"/>
      <c r="HL10" s="45"/>
      <c r="HM10" s="45"/>
      <c r="HN10" s="45"/>
      <c r="HO10" s="45"/>
      <c r="HP10" s="45"/>
      <c r="HQ10" s="45"/>
      <c r="HR10" s="45"/>
      <c r="HS10" s="45"/>
      <c r="HT10" s="45"/>
      <c r="HU10" s="45"/>
      <c r="HV10" s="45"/>
      <c r="HW10" s="45"/>
      <c r="HX10" s="45"/>
      <c r="HY10" s="45"/>
      <c r="HZ10" s="45"/>
      <c r="IA10" s="45"/>
      <c r="IB10" s="45"/>
      <c r="IC10" s="45"/>
      <c r="ID10" s="45"/>
      <c r="IE10" s="45"/>
      <c r="IF10" s="45"/>
      <c r="IG10" s="45"/>
      <c r="IH10" s="45"/>
      <c r="II10" s="45"/>
      <c r="IJ10" s="45"/>
      <c r="IK10" s="45"/>
      <c r="IL10" s="45"/>
      <c r="IM10" s="45"/>
      <c r="IN10" s="45"/>
      <c r="IO10" s="45"/>
      <c r="IP10" s="45"/>
      <c r="IQ10" s="45"/>
      <c r="IR10" s="45"/>
      <c r="IS10" s="45"/>
      <c r="IT10" s="45"/>
      <c r="IU10" s="45"/>
      <c r="IV10" s="45"/>
      <c r="IW10" s="45"/>
      <c r="IX10" s="45"/>
      <c r="IY10" s="45"/>
      <c r="IZ10" s="45"/>
      <c r="JA10" s="45"/>
      <c r="JB10" s="45"/>
      <c r="JC10" s="45"/>
      <c r="JD10" s="45"/>
      <c r="JE10" s="45"/>
      <c r="JF10" s="45"/>
      <c r="JG10" s="45"/>
      <c r="JH10" s="45"/>
      <c r="JI10" s="45"/>
      <c r="JJ10" s="45"/>
      <c r="JK10" s="45"/>
      <c r="JL10" s="45"/>
      <c r="JM10" s="45"/>
    </row>
    <row r="11" spans="1:273" s="41" customFormat="1" ht="30" customHeight="1" thickBot="1" x14ac:dyDescent="0.35">
      <c r="A11" s="12"/>
      <c r="B11" s="46" t="s">
        <v>25</v>
      </c>
      <c r="C11" s="47"/>
      <c r="D11" s="48">
        <f>DATE(2026, 3, 23)</f>
        <v>46104</v>
      </c>
      <c r="E11" s="48">
        <f>DATE(2026, 3, 29)</f>
        <v>46110</v>
      </c>
      <c r="F11" s="15"/>
      <c r="G11" s="4">
        <f t="shared" si="159"/>
        <v>7</v>
      </c>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c r="GD11" s="45"/>
      <c r="GE11" s="45"/>
      <c r="GF11" s="45"/>
      <c r="GG11" s="45"/>
      <c r="GH11" s="45"/>
      <c r="GI11" s="45"/>
      <c r="GJ11" s="45"/>
      <c r="GK11" s="45"/>
      <c r="GL11" s="45"/>
      <c r="GM11" s="45"/>
      <c r="GN11" s="45"/>
      <c r="GO11" s="45"/>
      <c r="GP11" s="45"/>
      <c r="GQ11" s="45"/>
      <c r="GR11" s="45"/>
      <c r="GS11" s="45"/>
      <c r="GT11" s="45"/>
      <c r="GU11" s="45"/>
      <c r="GV11" s="45"/>
      <c r="GW11" s="45"/>
      <c r="GX11" s="45"/>
      <c r="GY11" s="45"/>
      <c r="GZ11" s="45"/>
      <c r="HA11" s="45"/>
      <c r="HB11" s="45"/>
      <c r="HC11" s="45"/>
      <c r="HD11" s="45"/>
      <c r="HE11" s="45"/>
      <c r="HF11" s="45"/>
      <c r="HG11" s="45"/>
      <c r="HH11" s="45"/>
      <c r="HI11" s="45"/>
      <c r="HJ11" s="45"/>
      <c r="HK11" s="45"/>
      <c r="HL11" s="45"/>
      <c r="HM11" s="45"/>
      <c r="HN11" s="45"/>
      <c r="HO11" s="45"/>
      <c r="HP11" s="45"/>
      <c r="HQ11" s="45"/>
      <c r="HR11" s="45"/>
      <c r="HS11" s="45"/>
      <c r="HT11" s="45"/>
      <c r="HU11" s="45"/>
      <c r="HV11" s="45"/>
      <c r="HW11" s="45"/>
      <c r="HX11" s="45"/>
      <c r="HY11" s="45"/>
      <c r="HZ11" s="45"/>
      <c r="IA11" s="45"/>
      <c r="IB11" s="45"/>
      <c r="IC11" s="45"/>
      <c r="ID11" s="45"/>
      <c r="IE11" s="45"/>
      <c r="IF11" s="45"/>
      <c r="IG11" s="45"/>
      <c r="IH11" s="45"/>
      <c r="II11" s="45"/>
      <c r="IJ11" s="45"/>
      <c r="IK11" s="45"/>
      <c r="IL11" s="45"/>
      <c r="IM11" s="45"/>
      <c r="IN11" s="45"/>
      <c r="IO11" s="45"/>
      <c r="IP11" s="45"/>
      <c r="IQ11" s="45"/>
      <c r="IR11" s="45"/>
      <c r="IS11" s="45"/>
      <c r="IT11" s="45"/>
      <c r="IU11" s="45"/>
      <c r="IV11" s="45"/>
      <c r="IW11" s="45"/>
      <c r="IX11" s="45"/>
      <c r="IY11" s="45"/>
      <c r="IZ11" s="45"/>
      <c r="JA11" s="45"/>
      <c r="JB11" s="45"/>
      <c r="JC11" s="45"/>
      <c r="JD11" s="45"/>
      <c r="JE11" s="45"/>
      <c r="JF11" s="45"/>
      <c r="JG11" s="45"/>
      <c r="JH11" s="45"/>
      <c r="JI11" s="45"/>
      <c r="JJ11" s="45"/>
      <c r="JK11" s="45"/>
      <c r="JL11" s="45"/>
      <c r="JM11" s="45"/>
    </row>
    <row r="12" spans="1:273" s="41" customFormat="1" ht="30" customHeight="1" thickBot="1" x14ac:dyDescent="0.35">
      <c r="A12" s="12"/>
      <c r="B12" s="46" t="s">
        <v>42</v>
      </c>
      <c r="C12" s="47"/>
      <c r="D12" s="48">
        <f>DATE(2026, 3, 9)</f>
        <v>46090</v>
      </c>
      <c r="E12" s="48">
        <f>DATE(2026, 3, 23)</f>
        <v>46104</v>
      </c>
      <c r="F12" s="15"/>
      <c r="G12" s="4">
        <f t="shared" si="159"/>
        <v>15</v>
      </c>
      <c r="H12" s="45"/>
      <c r="I12" s="45"/>
      <c r="J12" s="45"/>
      <c r="K12" s="45"/>
      <c r="L12" s="45"/>
      <c r="M12" s="45"/>
      <c r="N12" s="45"/>
      <c r="O12" s="45"/>
      <c r="P12" s="45"/>
      <c r="Q12" s="45"/>
      <c r="R12" s="45"/>
      <c r="S12" s="45"/>
      <c r="T12" s="45"/>
      <c r="U12" s="45"/>
      <c r="V12" s="45"/>
      <c r="W12" s="45"/>
      <c r="X12" s="49"/>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45"/>
      <c r="EB12" s="45"/>
      <c r="EC12" s="45"/>
      <c r="ED12" s="45"/>
      <c r="EE12" s="45"/>
      <c r="EF12" s="45"/>
      <c r="EG12" s="45"/>
      <c r="EH12" s="45"/>
      <c r="EI12" s="45"/>
      <c r="EJ12" s="45"/>
      <c r="EK12" s="45"/>
      <c r="EL12" s="45"/>
      <c r="EM12" s="45"/>
      <c r="EN12" s="45"/>
      <c r="EO12" s="45"/>
      <c r="EP12" s="45"/>
      <c r="EQ12" s="45"/>
      <c r="ER12" s="45"/>
      <c r="ES12" s="45"/>
      <c r="ET12" s="45"/>
      <c r="EU12" s="45"/>
      <c r="EV12" s="45"/>
      <c r="EW12" s="45"/>
      <c r="EX12" s="45"/>
      <c r="EY12" s="45"/>
      <c r="EZ12" s="45"/>
      <c r="FA12" s="45"/>
      <c r="FB12" s="45"/>
      <c r="FC12" s="45"/>
      <c r="FD12" s="45"/>
      <c r="FE12" s="45"/>
      <c r="FF12" s="45"/>
      <c r="FG12" s="45"/>
      <c r="FH12" s="45"/>
      <c r="FI12" s="45"/>
      <c r="FJ12" s="45"/>
      <c r="FK12" s="45"/>
      <c r="FL12" s="45"/>
      <c r="FM12" s="45"/>
      <c r="FN12" s="45"/>
      <c r="FO12" s="45"/>
      <c r="FP12" s="45"/>
      <c r="FQ12" s="45"/>
      <c r="FR12" s="45"/>
      <c r="FS12" s="45"/>
      <c r="FT12" s="45"/>
      <c r="FU12" s="45"/>
      <c r="FV12" s="45"/>
      <c r="FW12" s="45"/>
      <c r="FX12" s="45"/>
      <c r="FY12" s="45"/>
      <c r="FZ12" s="45"/>
      <c r="GA12" s="45"/>
      <c r="GB12" s="45"/>
      <c r="GC12" s="45"/>
      <c r="GD12" s="45"/>
      <c r="GE12" s="45"/>
      <c r="GF12" s="45"/>
      <c r="GG12" s="45"/>
      <c r="GH12" s="45"/>
      <c r="GI12" s="45"/>
      <c r="GJ12" s="45"/>
      <c r="GK12" s="45"/>
      <c r="GL12" s="45"/>
      <c r="GM12" s="45"/>
      <c r="GN12" s="45"/>
      <c r="GO12" s="45"/>
      <c r="GP12" s="45"/>
      <c r="GQ12" s="45"/>
      <c r="GR12" s="45"/>
      <c r="GS12" s="45"/>
      <c r="GT12" s="45"/>
      <c r="GU12" s="45"/>
      <c r="GV12" s="45"/>
      <c r="GW12" s="45"/>
      <c r="GX12" s="45"/>
      <c r="GY12" s="45"/>
      <c r="GZ12" s="45"/>
      <c r="HA12" s="45"/>
      <c r="HB12" s="45"/>
      <c r="HC12" s="45"/>
      <c r="HD12" s="45"/>
      <c r="HE12" s="45"/>
      <c r="HF12" s="45"/>
      <c r="HG12" s="45"/>
      <c r="HH12" s="45"/>
      <c r="HI12" s="45"/>
      <c r="HJ12" s="45"/>
      <c r="HK12" s="45"/>
      <c r="HL12" s="45"/>
      <c r="HM12" s="45"/>
      <c r="HN12" s="45"/>
      <c r="HO12" s="45"/>
      <c r="HP12" s="45"/>
      <c r="HQ12" s="45"/>
      <c r="HR12" s="45"/>
      <c r="HS12" s="45"/>
      <c r="HT12" s="45"/>
      <c r="HU12" s="45"/>
      <c r="HV12" s="45"/>
      <c r="HW12" s="45"/>
      <c r="HX12" s="45"/>
      <c r="HY12" s="45"/>
      <c r="HZ12" s="45"/>
      <c r="IA12" s="45"/>
      <c r="IB12" s="45"/>
      <c r="IC12" s="45"/>
      <c r="ID12" s="45"/>
      <c r="IE12" s="45"/>
      <c r="IF12" s="45"/>
      <c r="IG12" s="45"/>
      <c r="IH12" s="45"/>
      <c r="II12" s="45"/>
      <c r="IJ12" s="45"/>
      <c r="IK12" s="45"/>
      <c r="IL12" s="45"/>
      <c r="IM12" s="45"/>
      <c r="IN12" s="45"/>
      <c r="IO12" s="45"/>
      <c r="IP12" s="45"/>
      <c r="IQ12" s="45"/>
      <c r="IR12" s="45"/>
      <c r="IS12" s="45"/>
      <c r="IT12" s="45"/>
      <c r="IU12" s="45"/>
      <c r="IV12" s="45"/>
      <c r="IW12" s="45"/>
      <c r="IX12" s="45"/>
      <c r="IY12" s="45"/>
      <c r="IZ12" s="45"/>
      <c r="JA12" s="45"/>
      <c r="JB12" s="45"/>
      <c r="JC12" s="45"/>
      <c r="JD12" s="45"/>
      <c r="JE12" s="45"/>
      <c r="JF12" s="45"/>
      <c r="JG12" s="45"/>
      <c r="JH12" s="45"/>
      <c r="JI12" s="45"/>
      <c r="JJ12" s="45"/>
      <c r="JK12" s="45"/>
      <c r="JL12" s="45"/>
      <c r="JM12" s="45"/>
    </row>
    <row r="13" spans="1:273" s="41" customFormat="1" ht="30" customHeight="1" thickBot="1" x14ac:dyDescent="0.35">
      <c r="A13" s="12"/>
      <c r="F13" s="15"/>
      <c r="G13" s="4" t="str">
        <f t="shared" si="159"/>
        <v/>
      </c>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45"/>
      <c r="HC13" s="45"/>
      <c r="HD13" s="45"/>
      <c r="HE13" s="45"/>
      <c r="HF13" s="45"/>
      <c r="HG13" s="45"/>
      <c r="HH13" s="45"/>
      <c r="HI13" s="45"/>
      <c r="HJ13" s="45"/>
      <c r="HK13" s="45"/>
      <c r="HL13" s="45"/>
      <c r="HM13" s="45"/>
      <c r="HN13" s="45"/>
      <c r="HO13" s="45"/>
      <c r="HP13" s="45"/>
      <c r="HQ13" s="45"/>
      <c r="HR13" s="45"/>
      <c r="HS13" s="45"/>
      <c r="HT13" s="45"/>
      <c r="HU13" s="45"/>
      <c r="HV13" s="45"/>
      <c r="HW13" s="45"/>
      <c r="HX13" s="45"/>
      <c r="HY13" s="45"/>
      <c r="HZ13" s="45"/>
      <c r="IA13" s="45"/>
      <c r="IB13" s="45"/>
      <c r="IC13" s="45"/>
      <c r="ID13" s="45"/>
      <c r="IE13" s="45"/>
      <c r="IF13" s="45"/>
      <c r="IG13" s="45"/>
      <c r="IH13" s="45"/>
      <c r="II13" s="45"/>
      <c r="IJ13" s="45"/>
      <c r="IK13" s="45"/>
      <c r="IL13" s="45"/>
      <c r="IM13" s="45"/>
      <c r="IN13" s="45"/>
      <c r="IO13" s="45"/>
      <c r="IP13" s="45"/>
      <c r="IQ13" s="45"/>
      <c r="IR13" s="45"/>
      <c r="IS13" s="45"/>
      <c r="IT13" s="45"/>
      <c r="IU13" s="45"/>
      <c r="IV13" s="45"/>
      <c r="IW13" s="45"/>
      <c r="IX13" s="45"/>
      <c r="IY13" s="45"/>
      <c r="IZ13" s="45"/>
      <c r="JA13" s="45"/>
      <c r="JB13" s="45"/>
      <c r="JC13" s="45"/>
      <c r="JD13" s="45"/>
      <c r="JE13" s="45"/>
      <c r="JF13" s="45"/>
      <c r="JG13" s="45"/>
      <c r="JH13" s="45"/>
      <c r="JI13" s="45"/>
      <c r="JJ13" s="45"/>
      <c r="JK13" s="45"/>
      <c r="JL13" s="45"/>
      <c r="JM13" s="45"/>
    </row>
    <row r="14" spans="1:273" s="41" customFormat="1" ht="30" customHeight="1" thickBot="1" x14ac:dyDescent="0.35">
      <c r="A14" s="13"/>
      <c r="B14" s="50" t="s">
        <v>27</v>
      </c>
      <c r="C14" s="51"/>
      <c r="D14" s="52"/>
      <c r="E14" s="53"/>
      <c r="F14" s="15"/>
      <c r="G14" s="4" t="str">
        <f t="shared" si="159"/>
        <v/>
      </c>
    </row>
    <row r="15" spans="1:273" s="41" customFormat="1" ht="30" customHeight="1" thickBot="1" x14ac:dyDescent="0.35">
      <c r="A15" s="13"/>
      <c r="B15" s="54" t="s">
        <v>28</v>
      </c>
      <c r="C15" s="55"/>
      <c r="D15" s="56">
        <f>DATE(2026,3,26)</f>
        <v>46107</v>
      </c>
      <c r="E15" s="56">
        <f>DATE(2026, 4, 1)</f>
        <v>46113</v>
      </c>
      <c r="F15" s="15"/>
      <c r="G15" s="4">
        <f t="shared" si="159"/>
        <v>7</v>
      </c>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5"/>
      <c r="CV15" s="45"/>
      <c r="CW15" s="45"/>
      <c r="CX15" s="45"/>
      <c r="CY15" s="45"/>
      <c r="CZ15" s="45"/>
      <c r="DA15" s="45"/>
      <c r="DB15" s="45"/>
      <c r="DC15" s="45"/>
      <c r="DD15" s="45"/>
      <c r="DE15" s="45"/>
      <c r="DF15" s="45"/>
      <c r="DG15" s="45"/>
      <c r="DH15" s="45"/>
      <c r="DI15" s="45"/>
      <c r="DJ15" s="45"/>
      <c r="DK15" s="45"/>
      <c r="DL15" s="45"/>
      <c r="DM15" s="45"/>
      <c r="DN15" s="45"/>
      <c r="DO15" s="45"/>
      <c r="DP15" s="45"/>
      <c r="DQ15" s="45"/>
      <c r="DR15" s="45"/>
      <c r="DS15" s="45"/>
      <c r="DT15" s="45"/>
      <c r="DU15" s="45"/>
      <c r="DV15" s="45"/>
      <c r="DW15" s="45"/>
      <c r="DX15" s="45"/>
      <c r="DY15" s="45"/>
      <c r="DZ15" s="45"/>
      <c r="EA15" s="45"/>
      <c r="EB15" s="45"/>
      <c r="EC15" s="45"/>
      <c r="ED15" s="45"/>
      <c r="EE15" s="45"/>
      <c r="EF15" s="45"/>
      <c r="EG15" s="45"/>
      <c r="EH15" s="45"/>
      <c r="EI15" s="45"/>
      <c r="EJ15" s="45"/>
      <c r="EK15" s="45"/>
      <c r="EL15" s="45"/>
      <c r="EM15" s="45"/>
      <c r="EN15" s="45"/>
      <c r="EO15" s="45"/>
      <c r="EP15" s="45"/>
      <c r="EQ15" s="45"/>
      <c r="ER15" s="45"/>
      <c r="ES15" s="45"/>
      <c r="ET15" s="45"/>
      <c r="EU15" s="45"/>
      <c r="EV15" s="45"/>
      <c r="EW15" s="45"/>
      <c r="EX15" s="45"/>
      <c r="EY15" s="45"/>
      <c r="EZ15" s="45"/>
      <c r="FA15" s="45"/>
      <c r="FB15" s="45"/>
      <c r="FC15" s="45"/>
      <c r="FD15" s="45"/>
      <c r="FE15" s="45"/>
      <c r="FF15" s="45"/>
      <c r="FG15" s="45"/>
      <c r="FH15" s="45"/>
      <c r="FI15" s="45"/>
      <c r="FJ15" s="45"/>
      <c r="FK15" s="45"/>
      <c r="FL15" s="45"/>
      <c r="FM15" s="45"/>
      <c r="FN15" s="45"/>
      <c r="FO15" s="45"/>
      <c r="FP15" s="45"/>
      <c r="FQ15" s="45"/>
      <c r="FR15" s="45"/>
      <c r="FS15" s="45"/>
      <c r="FT15" s="45"/>
      <c r="FU15" s="45"/>
      <c r="FV15" s="45"/>
      <c r="FW15" s="45"/>
      <c r="FX15" s="45"/>
      <c r="FY15" s="45"/>
      <c r="FZ15" s="45"/>
      <c r="GA15" s="45"/>
      <c r="GB15" s="45"/>
      <c r="GC15" s="45"/>
      <c r="GD15" s="45"/>
      <c r="GE15" s="45"/>
      <c r="GF15" s="45"/>
      <c r="GG15" s="45"/>
      <c r="GH15" s="45"/>
      <c r="GI15" s="45"/>
      <c r="GJ15" s="45"/>
      <c r="GK15" s="45"/>
      <c r="GL15" s="45"/>
      <c r="GM15" s="45"/>
      <c r="GN15" s="45"/>
      <c r="GO15" s="45"/>
      <c r="GP15" s="45"/>
      <c r="GQ15" s="45"/>
      <c r="GR15" s="45"/>
      <c r="GS15" s="45"/>
      <c r="GT15" s="45"/>
      <c r="GU15" s="45"/>
      <c r="GV15" s="45"/>
      <c r="GW15" s="45"/>
      <c r="GX15" s="45"/>
      <c r="GY15" s="45"/>
      <c r="GZ15" s="45"/>
      <c r="HA15" s="45"/>
      <c r="HB15" s="45"/>
      <c r="HC15" s="45"/>
      <c r="HD15" s="45"/>
      <c r="HE15" s="45"/>
      <c r="HF15" s="45"/>
      <c r="HG15" s="45"/>
      <c r="HH15" s="45"/>
      <c r="HI15" s="45"/>
      <c r="HJ15" s="45"/>
      <c r="HK15" s="45"/>
      <c r="HL15" s="45"/>
      <c r="HM15" s="45"/>
      <c r="HN15" s="45"/>
      <c r="HO15" s="45"/>
      <c r="HP15" s="45"/>
      <c r="HQ15" s="45"/>
      <c r="HR15" s="45"/>
      <c r="HS15" s="45"/>
      <c r="HT15" s="45"/>
      <c r="HU15" s="45"/>
      <c r="HV15" s="45"/>
      <c r="HW15" s="45"/>
      <c r="HX15" s="45"/>
      <c r="HY15" s="45"/>
      <c r="HZ15" s="45"/>
      <c r="IA15" s="45"/>
      <c r="IB15" s="45"/>
      <c r="IC15" s="45"/>
      <c r="ID15" s="45"/>
      <c r="IE15" s="45"/>
      <c r="IF15" s="45"/>
      <c r="IG15" s="45"/>
      <c r="IH15" s="45"/>
      <c r="II15" s="45"/>
      <c r="IJ15" s="45"/>
      <c r="IK15" s="45"/>
      <c r="IL15" s="45"/>
      <c r="IM15" s="45"/>
      <c r="IN15" s="45"/>
      <c r="IO15" s="45"/>
      <c r="IP15" s="45"/>
      <c r="IQ15" s="45"/>
      <c r="IR15" s="45"/>
      <c r="IS15" s="45"/>
      <c r="IT15" s="45"/>
      <c r="IU15" s="45"/>
      <c r="IV15" s="45"/>
      <c r="IW15" s="45"/>
      <c r="IX15" s="45"/>
      <c r="IY15" s="45"/>
      <c r="IZ15" s="45"/>
      <c r="JA15" s="45"/>
      <c r="JB15" s="45"/>
      <c r="JC15" s="45"/>
      <c r="JD15" s="45"/>
      <c r="JE15" s="45"/>
      <c r="JF15" s="45"/>
      <c r="JG15" s="45"/>
      <c r="JH15" s="45"/>
      <c r="JI15" s="45"/>
      <c r="JJ15" s="45"/>
      <c r="JK15" s="45"/>
      <c r="JL15" s="45"/>
      <c r="JM15" s="45"/>
    </row>
    <row r="16" spans="1:273" s="41" customFormat="1" ht="30" customHeight="1" thickBot="1" x14ac:dyDescent="0.35">
      <c r="A16" s="12"/>
      <c r="B16" s="54" t="s">
        <v>31</v>
      </c>
      <c r="C16" s="55"/>
      <c r="D16" s="56"/>
      <c r="E16" s="56"/>
      <c r="F16" s="15"/>
      <c r="G16" s="4" t="str">
        <f t="shared" si="159"/>
        <v/>
      </c>
      <c r="H16" s="45"/>
      <c r="I16" s="45"/>
      <c r="J16" s="45"/>
      <c r="K16" s="45"/>
      <c r="L16" s="45"/>
      <c r="M16" s="45"/>
      <c r="N16" s="45"/>
      <c r="O16" s="45"/>
      <c r="P16" s="45"/>
      <c r="Q16" s="45"/>
      <c r="R16" s="45"/>
      <c r="S16" s="45"/>
      <c r="T16" s="49"/>
      <c r="U16" s="49"/>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c r="DM16" s="45"/>
      <c r="DN16" s="45"/>
      <c r="DO16" s="45"/>
      <c r="DP16" s="45"/>
      <c r="DQ16" s="45"/>
      <c r="DR16" s="45"/>
      <c r="DS16" s="45"/>
      <c r="DT16" s="45"/>
      <c r="DU16" s="45"/>
      <c r="DV16" s="45"/>
      <c r="DW16" s="45"/>
      <c r="DX16" s="45"/>
      <c r="DY16" s="45"/>
      <c r="DZ16" s="45"/>
      <c r="EA16" s="45"/>
      <c r="EB16" s="45"/>
      <c r="EC16" s="45"/>
      <c r="ED16" s="45"/>
      <c r="EE16" s="45"/>
      <c r="EF16" s="45"/>
      <c r="EG16" s="45"/>
      <c r="EH16" s="45"/>
      <c r="EI16" s="45"/>
      <c r="EJ16" s="45"/>
      <c r="EK16" s="45"/>
      <c r="EL16" s="45"/>
      <c r="EM16" s="45"/>
      <c r="EN16" s="45"/>
      <c r="EO16" s="45"/>
      <c r="EP16" s="45"/>
      <c r="EQ16" s="45"/>
      <c r="ER16" s="45"/>
      <c r="ES16" s="45"/>
      <c r="ET16" s="45"/>
      <c r="EU16" s="45"/>
      <c r="EV16" s="45"/>
      <c r="EW16" s="45"/>
      <c r="EX16" s="45"/>
      <c r="EY16" s="45"/>
      <c r="EZ16" s="45"/>
      <c r="FA16" s="45"/>
      <c r="FB16" s="45"/>
      <c r="FC16" s="45"/>
      <c r="FD16" s="45"/>
      <c r="FE16" s="45"/>
      <c r="FF16" s="45"/>
      <c r="FG16" s="45"/>
      <c r="FH16" s="45"/>
      <c r="FI16" s="45"/>
      <c r="FJ16" s="45"/>
      <c r="FK16" s="45"/>
      <c r="FL16" s="45"/>
      <c r="FM16" s="45"/>
      <c r="FN16" s="45"/>
      <c r="FO16" s="45"/>
      <c r="FP16" s="45"/>
      <c r="FQ16" s="45"/>
      <c r="FR16" s="45"/>
      <c r="FS16" s="45"/>
      <c r="FT16" s="45"/>
      <c r="FU16" s="45"/>
      <c r="FV16" s="45"/>
      <c r="FW16" s="45"/>
      <c r="FX16" s="45"/>
      <c r="FY16" s="45"/>
      <c r="FZ16" s="45"/>
      <c r="GA16" s="45"/>
      <c r="GB16" s="45"/>
      <c r="GC16" s="45"/>
      <c r="GD16" s="45"/>
      <c r="GE16" s="45"/>
      <c r="GF16" s="45"/>
      <c r="GG16" s="45"/>
      <c r="GH16" s="45"/>
      <c r="GI16" s="45"/>
      <c r="GJ16" s="45"/>
      <c r="GK16" s="45"/>
      <c r="GL16" s="45"/>
      <c r="GM16" s="45"/>
      <c r="GN16" s="45"/>
      <c r="GO16" s="45"/>
      <c r="GP16" s="45"/>
      <c r="GQ16" s="45"/>
      <c r="GR16" s="45"/>
      <c r="GS16" s="45"/>
      <c r="GT16" s="45"/>
      <c r="GU16" s="45"/>
      <c r="GV16" s="45"/>
      <c r="GW16" s="45"/>
      <c r="GX16" s="45"/>
      <c r="GY16" s="45"/>
      <c r="GZ16" s="45"/>
      <c r="HA16" s="45"/>
      <c r="HB16" s="45"/>
      <c r="HC16" s="45"/>
      <c r="HD16" s="45"/>
      <c r="HE16" s="45"/>
      <c r="HF16" s="45"/>
      <c r="HG16" s="45"/>
      <c r="HH16" s="45"/>
      <c r="HI16" s="45"/>
      <c r="HJ16" s="45"/>
      <c r="HK16" s="45"/>
      <c r="HL16" s="45"/>
      <c r="HM16" s="45"/>
      <c r="HN16" s="45"/>
      <c r="HO16" s="45"/>
      <c r="HP16" s="45"/>
      <c r="HQ16" s="45"/>
      <c r="HR16" s="45"/>
      <c r="HS16" s="45"/>
      <c r="HT16" s="45"/>
      <c r="HU16" s="45"/>
      <c r="HV16" s="45"/>
      <c r="HW16" s="45"/>
      <c r="HX16" s="45"/>
      <c r="HY16" s="45"/>
      <c r="HZ16" s="45"/>
      <c r="IA16" s="45"/>
      <c r="IB16" s="45"/>
      <c r="IC16" s="45"/>
      <c r="ID16" s="45"/>
      <c r="IE16" s="45"/>
      <c r="IF16" s="45"/>
      <c r="IG16" s="45"/>
      <c r="IH16" s="45"/>
      <c r="II16" s="45"/>
      <c r="IJ16" s="45"/>
      <c r="IK16" s="45"/>
      <c r="IL16" s="45"/>
      <c r="IM16" s="45"/>
      <c r="IN16" s="45"/>
      <c r="IO16" s="45"/>
      <c r="IP16" s="45"/>
      <c r="IQ16" s="45"/>
      <c r="IR16" s="45"/>
      <c r="IS16" s="45"/>
      <c r="IT16" s="45"/>
      <c r="IU16" s="45"/>
      <c r="IV16" s="45"/>
      <c r="IW16" s="45"/>
      <c r="IX16" s="45"/>
      <c r="IY16" s="45"/>
      <c r="IZ16" s="45"/>
      <c r="JA16" s="45"/>
      <c r="JB16" s="45"/>
      <c r="JC16" s="45"/>
      <c r="JD16" s="45"/>
      <c r="JE16" s="45"/>
      <c r="JF16" s="45"/>
      <c r="JG16" s="45"/>
      <c r="JH16" s="45"/>
      <c r="JI16" s="45"/>
      <c r="JJ16" s="45"/>
      <c r="JK16" s="45"/>
      <c r="JL16" s="45"/>
      <c r="JM16" s="45"/>
    </row>
    <row r="17" spans="1:273" s="41" customFormat="1" ht="30" customHeight="1" thickBot="1" x14ac:dyDescent="0.35">
      <c r="A17" s="12"/>
      <c r="B17" s="54" t="s">
        <v>29</v>
      </c>
      <c r="C17" s="55"/>
      <c r="D17" s="56"/>
      <c r="E17" s="56"/>
      <c r="F17" s="15"/>
      <c r="G17" s="4" t="str">
        <f t="shared" si="159"/>
        <v/>
      </c>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c r="DM17" s="45"/>
      <c r="DN17" s="45"/>
      <c r="DO17" s="45"/>
      <c r="DP17" s="45"/>
      <c r="DQ17" s="45"/>
      <c r="DR17" s="45"/>
      <c r="DS17" s="45"/>
      <c r="DT17" s="45"/>
      <c r="DU17" s="45"/>
      <c r="DV17" s="45"/>
      <c r="DW17" s="45"/>
      <c r="DX17" s="45"/>
      <c r="DY17" s="45"/>
      <c r="DZ17" s="45"/>
      <c r="EA17" s="45"/>
      <c r="EB17" s="45"/>
      <c r="EC17" s="45"/>
      <c r="ED17" s="45"/>
      <c r="EE17" s="45"/>
      <c r="EF17" s="45"/>
      <c r="EG17" s="45"/>
      <c r="EH17" s="45"/>
      <c r="EI17" s="45"/>
      <c r="EJ17" s="45"/>
      <c r="EK17" s="45"/>
      <c r="EL17" s="45"/>
      <c r="EM17" s="45"/>
      <c r="EN17" s="45"/>
      <c r="EO17" s="45"/>
      <c r="EP17" s="45"/>
      <c r="EQ17" s="45"/>
      <c r="ER17" s="45"/>
      <c r="ES17" s="45"/>
      <c r="ET17" s="45"/>
      <c r="EU17" s="45"/>
      <c r="EV17" s="45"/>
      <c r="EW17" s="45"/>
      <c r="EX17" s="45"/>
      <c r="EY17" s="45"/>
      <c r="EZ17" s="45"/>
      <c r="FA17" s="45"/>
      <c r="FB17" s="45"/>
      <c r="FC17" s="45"/>
      <c r="FD17" s="45"/>
      <c r="FE17" s="45"/>
      <c r="FF17" s="45"/>
      <c r="FG17" s="45"/>
      <c r="FH17" s="45"/>
      <c r="FI17" s="45"/>
      <c r="FJ17" s="45"/>
      <c r="FK17" s="45"/>
      <c r="FL17" s="45"/>
      <c r="FM17" s="45"/>
      <c r="FN17" s="45"/>
      <c r="FO17" s="45"/>
      <c r="FP17" s="45"/>
      <c r="FQ17" s="45"/>
      <c r="FR17" s="45"/>
      <c r="FS17" s="45"/>
      <c r="FT17" s="45"/>
      <c r="FU17" s="45"/>
      <c r="FV17" s="45"/>
      <c r="FW17" s="45"/>
      <c r="FX17" s="45"/>
      <c r="FY17" s="45"/>
      <c r="FZ17" s="45"/>
      <c r="GA17" s="45"/>
      <c r="GB17" s="45"/>
      <c r="GC17" s="45"/>
      <c r="GD17" s="45"/>
      <c r="GE17" s="45"/>
      <c r="GF17" s="45"/>
      <c r="GG17" s="45"/>
      <c r="GH17" s="45"/>
      <c r="GI17" s="45"/>
      <c r="GJ17" s="45"/>
      <c r="GK17" s="45"/>
      <c r="GL17" s="45"/>
      <c r="GM17" s="45"/>
      <c r="GN17" s="45"/>
      <c r="GO17" s="45"/>
      <c r="GP17" s="45"/>
      <c r="GQ17" s="45"/>
      <c r="GR17" s="45"/>
      <c r="GS17" s="45"/>
      <c r="GT17" s="45"/>
      <c r="GU17" s="45"/>
      <c r="GV17" s="45"/>
      <c r="GW17" s="45"/>
      <c r="GX17" s="45"/>
      <c r="GY17" s="45"/>
      <c r="GZ17" s="45"/>
      <c r="HA17" s="45"/>
      <c r="HB17" s="45"/>
      <c r="HC17" s="45"/>
      <c r="HD17" s="45"/>
      <c r="HE17" s="45"/>
      <c r="HF17" s="45"/>
      <c r="HG17" s="45"/>
      <c r="HH17" s="45"/>
      <c r="HI17" s="45"/>
      <c r="HJ17" s="45"/>
      <c r="HK17" s="45"/>
      <c r="HL17" s="45"/>
      <c r="HM17" s="45"/>
      <c r="HN17" s="45"/>
      <c r="HO17" s="45"/>
      <c r="HP17" s="45"/>
      <c r="HQ17" s="45"/>
      <c r="HR17" s="45"/>
      <c r="HS17" s="45"/>
      <c r="HT17" s="45"/>
      <c r="HU17" s="45"/>
      <c r="HV17" s="45"/>
      <c r="HW17" s="45"/>
      <c r="HX17" s="45"/>
      <c r="HY17" s="45"/>
      <c r="HZ17" s="45"/>
      <c r="IA17" s="45"/>
      <c r="IB17" s="45"/>
      <c r="IC17" s="45"/>
      <c r="ID17" s="45"/>
      <c r="IE17" s="45"/>
      <c r="IF17" s="45"/>
      <c r="IG17" s="45"/>
      <c r="IH17" s="45"/>
      <c r="II17" s="45"/>
      <c r="IJ17" s="45"/>
      <c r="IK17" s="45"/>
      <c r="IL17" s="45"/>
      <c r="IM17" s="45"/>
      <c r="IN17" s="45"/>
      <c r="IO17" s="45"/>
      <c r="IP17" s="45"/>
      <c r="IQ17" s="45"/>
      <c r="IR17" s="45"/>
      <c r="IS17" s="45"/>
      <c r="IT17" s="45"/>
      <c r="IU17" s="45"/>
      <c r="IV17" s="45"/>
      <c r="IW17" s="45"/>
      <c r="IX17" s="45"/>
      <c r="IY17" s="45"/>
      <c r="IZ17" s="45"/>
      <c r="JA17" s="45"/>
      <c r="JB17" s="45"/>
      <c r="JC17" s="45"/>
      <c r="JD17" s="45"/>
      <c r="JE17" s="45"/>
      <c r="JF17" s="45"/>
      <c r="JG17" s="45"/>
      <c r="JH17" s="45"/>
      <c r="JI17" s="45"/>
      <c r="JJ17" s="45"/>
      <c r="JK17" s="45"/>
      <c r="JL17" s="45"/>
      <c r="JM17" s="45"/>
    </row>
    <row r="18" spans="1:273" s="41" customFormat="1" ht="30" customHeight="1" thickBot="1" x14ac:dyDescent="0.35">
      <c r="A18" s="12"/>
      <c r="B18" s="54" t="s">
        <v>30</v>
      </c>
      <c r="C18" s="55"/>
      <c r="D18" s="56"/>
      <c r="E18" s="56"/>
      <c r="F18" s="15"/>
      <c r="G18" s="4" t="str">
        <f t="shared" si="159"/>
        <v/>
      </c>
      <c r="H18" s="45"/>
      <c r="I18" s="45"/>
      <c r="J18" s="45"/>
      <c r="K18" s="45"/>
      <c r="L18" s="45"/>
      <c r="M18" s="45"/>
      <c r="N18" s="45"/>
      <c r="O18" s="45"/>
      <c r="P18" s="45"/>
      <c r="Q18" s="45"/>
      <c r="R18" s="45"/>
      <c r="S18" s="45"/>
      <c r="T18" s="45"/>
      <c r="U18" s="45"/>
      <c r="V18" s="45"/>
      <c r="W18" s="45"/>
      <c r="X18" s="49"/>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c r="CO18" s="45"/>
      <c r="CP18" s="45"/>
      <c r="CQ18" s="45"/>
      <c r="CR18" s="45"/>
      <c r="CS18" s="45"/>
      <c r="CT18" s="45"/>
      <c r="CU18" s="45"/>
      <c r="CV18" s="45"/>
      <c r="CW18" s="45"/>
      <c r="CX18" s="45"/>
      <c r="CY18" s="45"/>
      <c r="CZ18" s="45"/>
      <c r="DA18" s="45"/>
      <c r="DB18" s="45"/>
      <c r="DC18" s="45"/>
      <c r="DD18" s="45"/>
      <c r="DE18" s="45"/>
      <c r="DF18" s="45"/>
      <c r="DG18" s="45"/>
      <c r="DH18" s="45"/>
      <c r="DI18" s="45"/>
      <c r="DJ18" s="45"/>
      <c r="DK18" s="45"/>
      <c r="DL18" s="45"/>
      <c r="DM18" s="45"/>
      <c r="DN18" s="45"/>
      <c r="DO18" s="45"/>
      <c r="DP18" s="45"/>
      <c r="DQ18" s="45"/>
      <c r="DR18" s="45"/>
      <c r="DS18" s="45"/>
      <c r="DT18" s="45"/>
      <c r="DU18" s="45"/>
      <c r="DV18" s="45"/>
      <c r="DW18" s="45"/>
      <c r="DX18" s="45"/>
      <c r="DY18" s="45"/>
      <c r="DZ18" s="45"/>
      <c r="EA18" s="45"/>
      <c r="EB18" s="45"/>
      <c r="EC18" s="45"/>
      <c r="ED18" s="45"/>
      <c r="EE18" s="45"/>
      <c r="EF18" s="45"/>
      <c r="EG18" s="45"/>
      <c r="EH18" s="45"/>
      <c r="EI18" s="45"/>
      <c r="EJ18" s="45"/>
      <c r="EK18" s="45"/>
      <c r="EL18" s="45"/>
      <c r="EM18" s="45"/>
      <c r="EN18" s="45"/>
      <c r="EO18" s="45"/>
      <c r="EP18" s="45"/>
      <c r="EQ18" s="45"/>
      <c r="ER18" s="45"/>
      <c r="ES18" s="45"/>
      <c r="ET18" s="45"/>
      <c r="EU18" s="45"/>
      <c r="EV18" s="45"/>
      <c r="EW18" s="45"/>
      <c r="EX18" s="45"/>
      <c r="EY18" s="45"/>
      <c r="EZ18" s="45"/>
      <c r="FA18" s="45"/>
      <c r="FB18" s="45"/>
      <c r="FC18" s="45"/>
      <c r="FD18" s="45"/>
      <c r="FE18" s="45"/>
      <c r="FF18" s="45"/>
      <c r="FG18" s="45"/>
      <c r="FH18" s="45"/>
      <c r="FI18" s="45"/>
      <c r="FJ18" s="45"/>
      <c r="FK18" s="45"/>
      <c r="FL18" s="45"/>
      <c r="FM18" s="45"/>
      <c r="FN18" s="45"/>
      <c r="FO18" s="45"/>
      <c r="FP18" s="45"/>
      <c r="FQ18" s="45"/>
      <c r="FR18" s="45"/>
      <c r="FS18" s="45"/>
      <c r="FT18" s="45"/>
      <c r="FU18" s="45"/>
      <c r="FV18" s="45"/>
      <c r="FW18" s="45"/>
      <c r="FX18" s="45"/>
      <c r="FY18" s="45"/>
      <c r="FZ18" s="45"/>
      <c r="GA18" s="45"/>
      <c r="GB18" s="45"/>
      <c r="GC18" s="45"/>
      <c r="GD18" s="45"/>
      <c r="GE18" s="45"/>
      <c r="GF18" s="45"/>
      <c r="GG18" s="45"/>
      <c r="GH18" s="45"/>
      <c r="GI18" s="45"/>
      <c r="GJ18" s="45"/>
      <c r="GK18" s="45"/>
      <c r="GL18" s="45"/>
      <c r="GM18" s="45"/>
      <c r="GN18" s="45"/>
      <c r="GO18" s="45"/>
      <c r="GP18" s="45"/>
      <c r="GQ18" s="45"/>
      <c r="GR18" s="45"/>
      <c r="GS18" s="45"/>
      <c r="GT18" s="45"/>
      <c r="GU18" s="45"/>
      <c r="GV18" s="45"/>
      <c r="GW18" s="45"/>
      <c r="GX18" s="45"/>
      <c r="GY18" s="45"/>
      <c r="GZ18" s="45"/>
      <c r="HA18" s="45"/>
      <c r="HB18" s="45"/>
      <c r="HC18" s="45"/>
      <c r="HD18" s="45"/>
      <c r="HE18" s="45"/>
      <c r="HF18" s="45"/>
      <c r="HG18" s="45"/>
      <c r="HH18" s="45"/>
      <c r="HI18" s="45"/>
      <c r="HJ18" s="45"/>
      <c r="HK18" s="45"/>
      <c r="HL18" s="45"/>
      <c r="HM18" s="45"/>
      <c r="HN18" s="45"/>
      <c r="HO18" s="45"/>
      <c r="HP18" s="45"/>
      <c r="HQ18" s="45"/>
      <c r="HR18" s="45"/>
      <c r="HS18" s="45"/>
      <c r="HT18" s="45"/>
      <c r="HU18" s="45"/>
      <c r="HV18" s="45"/>
      <c r="HW18" s="45"/>
      <c r="HX18" s="45"/>
      <c r="HY18" s="45"/>
      <c r="HZ18" s="45"/>
      <c r="IA18" s="45"/>
      <c r="IB18" s="45"/>
      <c r="IC18" s="45"/>
      <c r="ID18" s="45"/>
      <c r="IE18" s="45"/>
      <c r="IF18" s="45"/>
      <c r="IG18" s="45"/>
      <c r="IH18" s="45"/>
      <c r="II18" s="45"/>
      <c r="IJ18" s="45"/>
      <c r="IK18" s="45"/>
      <c r="IL18" s="45"/>
      <c r="IM18" s="45"/>
      <c r="IN18" s="45"/>
      <c r="IO18" s="45"/>
      <c r="IP18" s="45"/>
      <c r="IQ18" s="45"/>
      <c r="IR18" s="45"/>
      <c r="IS18" s="45"/>
      <c r="IT18" s="45"/>
      <c r="IU18" s="45"/>
      <c r="IV18" s="45"/>
      <c r="IW18" s="45"/>
      <c r="IX18" s="45"/>
      <c r="IY18" s="45"/>
      <c r="IZ18" s="45"/>
      <c r="JA18" s="45"/>
      <c r="JB18" s="45"/>
      <c r="JC18" s="45"/>
      <c r="JD18" s="45"/>
      <c r="JE18" s="45"/>
      <c r="JF18" s="45"/>
      <c r="JG18" s="45"/>
      <c r="JH18" s="45"/>
      <c r="JI18" s="45"/>
      <c r="JJ18" s="45"/>
      <c r="JK18" s="45"/>
      <c r="JL18" s="45"/>
      <c r="JM18" s="45"/>
    </row>
    <row r="19" spans="1:273" s="41" customFormat="1" ht="30" customHeight="1" thickBot="1" x14ac:dyDescent="0.35">
      <c r="A19" s="12"/>
      <c r="B19" s="54"/>
      <c r="C19" s="55"/>
      <c r="D19" s="56"/>
      <c r="E19" s="56"/>
      <c r="F19" s="15"/>
      <c r="G19" s="4" t="str">
        <f t="shared" si="159"/>
        <v/>
      </c>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45"/>
      <c r="EM19" s="45"/>
      <c r="EN19" s="45"/>
      <c r="EO19" s="45"/>
      <c r="EP19" s="45"/>
      <c r="EQ19" s="45"/>
      <c r="ER19" s="45"/>
      <c r="ES19" s="45"/>
      <c r="ET19" s="45"/>
      <c r="EU19" s="45"/>
      <c r="EV19" s="45"/>
      <c r="EW19" s="45"/>
      <c r="EX19" s="45"/>
      <c r="EY19" s="45"/>
      <c r="EZ19" s="45"/>
      <c r="FA19" s="45"/>
      <c r="FB19" s="45"/>
      <c r="FC19" s="45"/>
      <c r="FD19" s="45"/>
      <c r="FE19" s="45"/>
      <c r="FF19" s="45"/>
      <c r="FG19" s="45"/>
      <c r="FH19" s="45"/>
      <c r="FI19" s="45"/>
      <c r="FJ19" s="45"/>
      <c r="FK19" s="45"/>
      <c r="FL19" s="45"/>
      <c r="FM19" s="45"/>
      <c r="FN19" s="45"/>
      <c r="FO19" s="45"/>
      <c r="FP19" s="45"/>
      <c r="FQ19" s="45"/>
      <c r="FR19" s="45"/>
      <c r="FS19" s="45"/>
      <c r="FT19" s="45"/>
      <c r="FU19" s="45"/>
      <c r="FV19" s="45"/>
      <c r="FW19" s="45"/>
      <c r="FX19" s="45"/>
      <c r="FY19" s="45"/>
      <c r="FZ19" s="45"/>
      <c r="GA19" s="45"/>
      <c r="GB19" s="45"/>
      <c r="GC19" s="45"/>
      <c r="GD19" s="45"/>
      <c r="GE19" s="45"/>
      <c r="GF19" s="45"/>
      <c r="GG19" s="45"/>
      <c r="GH19" s="45"/>
      <c r="GI19" s="45"/>
      <c r="GJ19" s="45"/>
      <c r="GK19" s="45"/>
      <c r="GL19" s="45"/>
      <c r="GM19" s="45"/>
      <c r="GN19" s="45"/>
      <c r="GO19" s="45"/>
      <c r="GP19" s="45"/>
      <c r="GQ19" s="45"/>
      <c r="GR19" s="45"/>
      <c r="GS19" s="45"/>
      <c r="GT19" s="45"/>
      <c r="GU19" s="45"/>
      <c r="GV19" s="45"/>
      <c r="GW19" s="45"/>
      <c r="GX19" s="45"/>
      <c r="GY19" s="45"/>
      <c r="GZ19" s="45"/>
      <c r="HA19" s="45"/>
      <c r="HB19" s="45"/>
      <c r="HC19" s="45"/>
      <c r="HD19" s="45"/>
      <c r="HE19" s="45"/>
      <c r="HF19" s="45"/>
      <c r="HG19" s="45"/>
      <c r="HH19" s="45"/>
      <c r="HI19" s="45"/>
      <c r="HJ19" s="45"/>
      <c r="HK19" s="45"/>
      <c r="HL19" s="45"/>
      <c r="HM19" s="45"/>
      <c r="HN19" s="45"/>
      <c r="HO19" s="45"/>
      <c r="HP19" s="45"/>
      <c r="HQ19" s="45"/>
      <c r="HR19" s="45"/>
      <c r="HS19" s="45"/>
      <c r="HT19" s="45"/>
      <c r="HU19" s="45"/>
      <c r="HV19" s="45"/>
      <c r="HW19" s="45"/>
      <c r="HX19" s="45"/>
      <c r="HY19" s="45"/>
      <c r="HZ19" s="45"/>
      <c r="IA19" s="45"/>
      <c r="IB19" s="45"/>
      <c r="IC19" s="45"/>
      <c r="ID19" s="45"/>
      <c r="IE19" s="45"/>
      <c r="IF19" s="45"/>
      <c r="IG19" s="45"/>
      <c r="IH19" s="45"/>
      <c r="II19" s="45"/>
      <c r="IJ19" s="45"/>
      <c r="IK19" s="45"/>
      <c r="IL19" s="45"/>
      <c r="IM19" s="45"/>
      <c r="IN19" s="45"/>
      <c r="IO19" s="45"/>
      <c r="IP19" s="45"/>
      <c r="IQ19" s="45"/>
      <c r="IR19" s="45"/>
      <c r="IS19" s="45"/>
      <c r="IT19" s="45"/>
      <c r="IU19" s="45"/>
      <c r="IV19" s="45"/>
      <c r="IW19" s="45"/>
      <c r="IX19" s="45"/>
      <c r="IY19" s="45"/>
      <c r="IZ19" s="45"/>
      <c r="JA19" s="45"/>
      <c r="JB19" s="45"/>
      <c r="JC19" s="45"/>
      <c r="JD19" s="45"/>
      <c r="JE19" s="45"/>
      <c r="JF19" s="45"/>
      <c r="JG19" s="45"/>
      <c r="JH19" s="45"/>
      <c r="JI19" s="45"/>
      <c r="JJ19" s="45"/>
      <c r="JK19" s="45"/>
      <c r="JL19" s="45"/>
      <c r="JM19" s="45"/>
    </row>
    <row r="20" spans="1:273" s="41" customFormat="1" ht="30" customHeight="1" thickBot="1" x14ac:dyDescent="0.35">
      <c r="A20" s="12"/>
      <c r="B20" s="57" t="s">
        <v>33</v>
      </c>
      <c r="C20" s="58"/>
      <c r="D20" s="59"/>
      <c r="E20" s="60"/>
      <c r="F20" s="15"/>
      <c r="G20" s="4" t="str">
        <f t="shared" si="159"/>
        <v/>
      </c>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c r="DA20" s="61"/>
      <c r="DB20" s="61"/>
      <c r="DC20" s="61"/>
      <c r="DD20" s="61"/>
      <c r="DE20" s="61"/>
      <c r="DF20" s="61"/>
      <c r="DG20" s="61"/>
      <c r="DH20" s="61"/>
      <c r="DI20" s="61"/>
      <c r="DJ20" s="61"/>
      <c r="DK20" s="61"/>
      <c r="DL20" s="61"/>
      <c r="DM20" s="61"/>
      <c r="DN20" s="61"/>
      <c r="DO20" s="61"/>
      <c r="DP20" s="61"/>
      <c r="DQ20" s="61"/>
      <c r="DR20" s="61"/>
      <c r="DS20" s="61"/>
      <c r="DT20" s="61"/>
      <c r="DU20" s="61"/>
      <c r="DV20" s="61"/>
      <c r="DW20" s="61"/>
      <c r="DX20" s="61"/>
      <c r="DY20" s="61"/>
      <c r="DZ20" s="61"/>
      <c r="EA20" s="61"/>
      <c r="EB20" s="61"/>
      <c r="EC20" s="61"/>
      <c r="ED20" s="61"/>
      <c r="EE20" s="61"/>
      <c r="EF20" s="61"/>
      <c r="EG20" s="61"/>
      <c r="EH20" s="61"/>
      <c r="EI20" s="61"/>
      <c r="EJ20" s="61"/>
      <c r="EK20" s="61"/>
      <c r="EL20" s="61"/>
      <c r="EM20" s="61"/>
      <c r="EN20" s="61"/>
      <c r="EO20" s="61"/>
      <c r="EP20" s="61"/>
      <c r="EQ20" s="61"/>
      <c r="ER20" s="61"/>
      <c r="ES20" s="61"/>
      <c r="ET20" s="61"/>
      <c r="EU20" s="61"/>
      <c r="EV20" s="61"/>
      <c r="EW20" s="61"/>
      <c r="EX20" s="61"/>
      <c r="EY20" s="61"/>
      <c r="EZ20" s="61"/>
      <c r="FA20" s="61"/>
      <c r="FB20" s="61"/>
      <c r="FC20" s="61"/>
      <c r="FD20" s="61"/>
      <c r="FE20" s="61"/>
      <c r="FF20" s="61"/>
      <c r="FG20" s="61"/>
      <c r="FH20" s="61"/>
      <c r="FI20" s="61"/>
      <c r="FJ20" s="61"/>
      <c r="FK20" s="61"/>
      <c r="FL20" s="61"/>
      <c r="FM20" s="61"/>
      <c r="FN20" s="61"/>
      <c r="FO20" s="61"/>
      <c r="FP20" s="61"/>
      <c r="FQ20" s="61"/>
      <c r="FR20" s="61"/>
      <c r="FS20" s="61"/>
      <c r="FT20" s="61"/>
      <c r="FU20" s="61"/>
      <c r="FV20" s="61"/>
      <c r="FW20" s="61"/>
      <c r="FX20" s="61"/>
      <c r="FY20" s="61"/>
      <c r="FZ20" s="61"/>
      <c r="GA20" s="61"/>
      <c r="GB20" s="61"/>
      <c r="GC20" s="61"/>
      <c r="GD20" s="61"/>
      <c r="GE20" s="61"/>
      <c r="GF20" s="61"/>
      <c r="GG20" s="61"/>
      <c r="GH20" s="61"/>
      <c r="GI20" s="61"/>
      <c r="GJ20" s="61"/>
      <c r="GK20" s="61"/>
      <c r="GL20" s="61"/>
      <c r="GM20" s="61"/>
      <c r="GN20" s="61"/>
      <c r="GO20" s="61"/>
      <c r="GP20" s="61"/>
      <c r="GQ20" s="61"/>
      <c r="GR20" s="61"/>
      <c r="GS20" s="61"/>
      <c r="GT20" s="61"/>
      <c r="GU20" s="61"/>
      <c r="GV20" s="61"/>
      <c r="GW20" s="61"/>
      <c r="GX20" s="61"/>
      <c r="GY20" s="61"/>
      <c r="GZ20" s="61"/>
      <c r="HA20" s="61"/>
      <c r="HB20" s="61"/>
      <c r="HC20" s="61"/>
      <c r="HD20" s="61"/>
      <c r="HE20" s="61"/>
      <c r="HF20" s="61"/>
      <c r="HG20" s="61"/>
      <c r="HH20" s="61"/>
      <c r="HI20" s="61"/>
      <c r="HJ20" s="61"/>
      <c r="HK20" s="61"/>
      <c r="HL20" s="61"/>
      <c r="HM20" s="61"/>
      <c r="HN20" s="61"/>
      <c r="HO20" s="61"/>
      <c r="HP20" s="61"/>
      <c r="HQ20" s="61"/>
      <c r="HR20" s="61"/>
      <c r="HS20" s="61"/>
      <c r="HT20" s="61"/>
      <c r="HU20" s="61"/>
      <c r="HV20" s="61"/>
      <c r="HW20" s="61"/>
      <c r="HX20" s="61"/>
      <c r="HY20" s="61"/>
      <c r="HZ20" s="61"/>
      <c r="IA20" s="61"/>
      <c r="IB20" s="61"/>
      <c r="IC20" s="61"/>
      <c r="ID20" s="61"/>
      <c r="IE20" s="61"/>
      <c r="IF20" s="61"/>
      <c r="IG20" s="61"/>
      <c r="IH20" s="61"/>
      <c r="II20" s="61"/>
      <c r="IJ20" s="61"/>
      <c r="IK20" s="61"/>
      <c r="IL20" s="61"/>
      <c r="IM20" s="61"/>
      <c r="IN20" s="61"/>
      <c r="IO20" s="61"/>
      <c r="IP20" s="61"/>
      <c r="IQ20" s="61"/>
      <c r="IR20" s="61"/>
      <c r="IS20" s="61"/>
      <c r="IT20" s="61"/>
      <c r="IU20" s="61"/>
      <c r="IV20" s="61"/>
      <c r="IW20" s="61"/>
      <c r="IX20" s="61"/>
      <c r="IY20" s="61"/>
      <c r="IZ20" s="61"/>
      <c r="JA20" s="61"/>
      <c r="JB20" s="61"/>
      <c r="JC20" s="61"/>
      <c r="JD20" s="61"/>
      <c r="JE20" s="61"/>
      <c r="JF20" s="61"/>
      <c r="JG20" s="61"/>
      <c r="JH20" s="61"/>
      <c r="JI20" s="61"/>
      <c r="JJ20" s="61"/>
      <c r="JK20" s="61"/>
      <c r="JL20" s="61"/>
      <c r="JM20" s="61"/>
    </row>
    <row r="21" spans="1:273" s="41" customFormat="1" ht="30" customHeight="1" thickBot="1" x14ac:dyDescent="0.35">
      <c r="A21" s="12"/>
      <c r="B21" s="62" t="s">
        <v>34</v>
      </c>
      <c r="C21" s="63"/>
      <c r="D21" s="64"/>
      <c r="E21" s="64"/>
      <c r="F21" s="15"/>
      <c r="G21" s="4" t="str">
        <f t="shared" si="159"/>
        <v/>
      </c>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c r="DL21" s="45"/>
      <c r="DM21" s="45"/>
      <c r="DN21" s="45"/>
      <c r="DO21" s="45"/>
      <c r="DP21" s="45"/>
      <c r="DQ21" s="45"/>
      <c r="DR21" s="45"/>
      <c r="DS21" s="45"/>
      <c r="DT21" s="45"/>
      <c r="DU21" s="45"/>
      <c r="DV21" s="45"/>
      <c r="DW21" s="45"/>
      <c r="DX21" s="45"/>
      <c r="DY21" s="45"/>
      <c r="DZ21" s="45"/>
      <c r="EA21" s="45"/>
      <c r="EB21" s="45"/>
      <c r="EC21" s="45"/>
      <c r="ED21" s="45"/>
      <c r="EE21" s="45"/>
      <c r="EF21" s="45"/>
      <c r="EG21" s="45"/>
      <c r="EH21" s="45"/>
      <c r="EI21" s="45"/>
      <c r="EJ21" s="45"/>
      <c r="EK21" s="45"/>
      <c r="EL21" s="45"/>
      <c r="EM21" s="45"/>
      <c r="EN21" s="45"/>
      <c r="EO21" s="45"/>
      <c r="EP21" s="45"/>
      <c r="EQ21" s="45"/>
      <c r="ER21" s="45"/>
      <c r="ES21" s="45"/>
      <c r="ET21" s="45"/>
      <c r="EU21" s="45"/>
      <c r="EV21" s="45"/>
      <c r="EW21" s="45"/>
      <c r="EX21" s="45"/>
      <c r="EY21" s="45"/>
      <c r="EZ21" s="45"/>
      <c r="FA21" s="45"/>
      <c r="FB21" s="45"/>
      <c r="FC21" s="45"/>
      <c r="FD21" s="45"/>
      <c r="FE21" s="45"/>
      <c r="FF21" s="45"/>
      <c r="FG21" s="45"/>
      <c r="FH21" s="45"/>
      <c r="FI21" s="45"/>
      <c r="FJ21" s="45"/>
      <c r="FK21" s="45"/>
      <c r="FL21" s="45"/>
      <c r="FM21" s="45"/>
      <c r="FN21" s="45"/>
      <c r="FO21" s="45"/>
      <c r="FP21" s="45"/>
      <c r="FQ21" s="45"/>
      <c r="FR21" s="45"/>
      <c r="FS21" s="45"/>
      <c r="FT21" s="45"/>
      <c r="FU21" s="45"/>
      <c r="FV21" s="45"/>
      <c r="FW21" s="45"/>
      <c r="FX21" s="45"/>
      <c r="FY21" s="45"/>
      <c r="FZ21" s="45"/>
      <c r="GA21" s="45"/>
      <c r="GB21" s="45"/>
      <c r="GC21" s="45"/>
      <c r="GD21" s="45"/>
      <c r="GE21" s="45"/>
      <c r="GF21" s="45"/>
      <c r="GG21" s="45"/>
      <c r="GH21" s="45"/>
      <c r="GI21" s="45"/>
      <c r="GJ21" s="45"/>
      <c r="GK21" s="45"/>
      <c r="GL21" s="45"/>
      <c r="GM21" s="45"/>
      <c r="GN21" s="45"/>
      <c r="GO21" s="45"/>
      <c r="GP21" s="45"/>
      <c r="GQ21" s="45"/>
      <c r="GR21" s="45"/>
      <c r="GS21" s="45"/>
      <c r="GT21" s="45"/>
      <c r="GU21" s="45"/>
      <c r="GV21" s="45"/>
      <c r="GW21" s="45"/>
      <c r="GX21" s="45"/>
      <c r="GY21" s="45"/>
      <c r="GZ21" s="45"/>
      <c r="HA21" s="45"/>
      <c r="HB21" s="45"/>
      <c r="HC21" s="45"/>
      <c r="HD21" s="45"/>
      <c r="HE21" s="45"/>
      <c r="HF21" s="45"/>
      <c r="HG21" s="45"/>
      <c r="HH21" s="45"/>
      <c r="HI21" s="45"/>
      <c r="HJ21" s="45"/>
      <c r="HK21" s="45"/>
      <c r="HL21" s="45"/>
      <c r="HM21" s="45"/>
      <c r="HN21" s="45"/>
      <c r="HO21" s="45"/>
      <c r="HP21" s="45"/>
      <c r="HQ21" s="45"/>
      <c r="HR21" s="45"/>
      <c r="HS21" s="45"/>
      <c r="HT21" s="45"/>
      <c r="HU21" s="45"/>
      <c r="HV21" s="45"/>
      <c r="HW21" s="45"/>
      <c r="HX21" s="45"/>
      <c r="HY21" s="45"/>
      <c r="HZ21" s="45"/>
      <c r="IA21" s="45"/>
      <c r="IB21" s="45"/>
      <c r="IC21" s="45"/>
      <c r="ID21" s="45"/>
      <c r="IE21" s="45"/>
      <c r="IF21" s="45"/>
      <c r="IG21" s="45"/>
      <c r="IH21" s="45"/>
      <c r="II21" s="45"/>
      <c r="IJ21" s="45"/>
      <c r="IK21" s="45"/>
      <c r="IL21" s="45"/>
      <c r="IM21" s="45"/>
      <c r="IN21" s="45"/>
      <c r="IO21" s="45"/>
      <c r="IP21" s="45"/>
      <c r="IQ21" s="45"/>
      <c r="IR21" s="45"/>
      <c r="IS21" s="45"/>
      <c r="IT21" s="45"/>
      <c r="IU21" s="45"/>
      <c r="IV21" s="45"/>
      <c r="IW21" s="45"/>
      <c r="IX21" s="45"/>
      <c r="IY21" s="45"/>
      <c r="IZ21" s="45"/>
      <c r="JA21" s="45"/>
      <c r="JB21" s="45"/>
      <c r="JC21" s="45"/>
      <c r="JD21" s="45"/>
      <c r="JE21" s="45"/>
      <c r="JF21" s="45"/>
      <c r="JG21" s="45"/>
      <c r="JH21" s="45"/>
      <c r="JI21" s="45"/>
      <c r="JJ21" s="45"/>
      <c r="JK21" s="45"/>
      <c r="JL21" s="45"/>
      <c r="JM21" s="45"/>
    </row>
    <row r="22" spans="1:273" s="41" customFormat="1" ht="30" customHeight="1" thickBot="1" x14ac:dyDescent="0.35">
      <c r="A22" s="12"/>
      <c r="B22" s="62" t="s">
        <v>38</v>
      </c>
      <c r="C22" s="63"/>
      <c r="D22" s="64"/>
      <c r="E22" s="64"/>
      <c r="F22" s="15"/>
      <c r="G22" s="4" t="str">
        <f t="shared" si="159"/>
        <v/>
      </c>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c r="CO22" s="45"/>
      <c r="CP22" s="45"/>
      <c r="CQ22" s="45"/>
      <c r="CR22" s="45"/>
      <c r="CS22" s="45"/>
      <c r="CT22" s="45"/>
      <c r="CU22" s="45"/>
      <c r="CV22" s="45"/>
      <c r="CW22" s="45"/>
      <c r="CX22" s="45"/>
      <c r="CY22" s="45"/>
      <c r="CZ22" s="45"/>
      <c r="DA22" s="45"/>
      <c r="DB22" s="45"/>
      <c r="DC22" s="45"/>
      <c r="DD22" s="45"/>
      <c r="DE22" s="45"/>
      <c r="DF22" s="45"/>
      <c r="DG22" s="45"/>
      <c r="DH22" s="45"/>
      <c r="DI22" s="45"/>
      <c r="DJ22" s="45"/>
      <c r="DK22" s="45"/>
      <c r="DL22" s="45"/>
      <c r="DM22" s="45"/>
      <c r="DN22" s="45"/>
      <c r="DO22" s="45"/>
      <c r="DP22" s="45"/>
      <c r="DQ22" s="45"/>
      <c r="DR22" s="45"/>
      <c r="DS22" s="45"/>
      <c r="DT22" s="45"/>
      <c r="DU22" s="45"/>
      <c r="DV22" s="45"/>
      <c r="DW22" s="45"/>
      <c r="DX22" s="45"/>
      <c r="DY22" s="45"/>
      <c r="DZ22" s="45"/>
      <c r="EA22" s="45"/>
      <c r="EB22" s="45"/>
      <c r="EC22" s="45"/>
      <c r="ED22" s="45"/>
      <c r="EE22" s="45"/>
      <c r="EF22" s="45"/>
      <c r="EG22" s="45"/>
      <c r="EH22" s="45"/>
      <c r="EI22" s="45"/>
      <c r="EJ22" s="45"/>
      <c r="EK22" s="45"/>
      <c r="EL22" s="45"/>
      <c r="EM22" s="45"/>
      <c r="EN22" s="45"/>
      <c r="EO22" s="45"/>
      <c r="EP22" s="45"/>
      <c r="EQ22" s="45"/>
      <c r="ER22" s="45"/>
      <c r="ES22" s="45"/>
      <c r="ET22" s="45"/>
      <c r="EU22" s="45"/>
      <c r="EV22" s="45"/>
      <c r="EW22" s="45"/>
      <c r="EX22" s="45"/>
      <c r="EY22" s="45"/>
      <c r="EZ22" s="45"/>
      <c r="FA22" s="45"/>
      <c r="FB22" s="45"/>
      <c r="FC22" s="45"/>
      <c r="FD22" s="45"/>
      <c r="FE22" s="45"/>
      <c r="FF22" s="45"/>
      <c r="FG22" s="45"/>
      <c r="FH22" s="45"/>
      <c r="FI22" s="45"/>
      <c r="FJ22" s="45"/>
      <c r="FK22" s="45"/>
      <c r="FL22" s="45"/>
      <c r="FM22" s="45"/>
      <c r="FN22" s="45"/>
      <c r="FO22" s="45"/>
      <c r="FP22" s="45"/>
      <c r="FQ22" s="45"/>
      <c r="FR22" s="45"/>
      <c r="FS22" s="45"/>
      <c r="FT22" s="45"/>
      <c r="FU22" s="45"/>
      <c r="FV22" s="45"/>
      <c r="FW22" s="45"/>
      <c r="FX22" s="45"/>
      <c r="FY22" s="45"/>
      <c r="FZ22" s="45"/>
      <c r="GA22" s="45"/>
      <c r="GB22" s="45"/>
      <c r="GC22" s="45"/>
      <c r="GD22" s="45"/>
      <c r="GE22" s="45"/>
      <c r="GF22" s="45"/>
      <c r="GG22" s="45"/>
      <c r="GH22" s="45"/>
      <c r="GI22" s="45"/>
      <c r="GJ22" s="45"/>
      <c r="GK22" s="45"/>
      <c r="GL22" s="45"/>
      <c r="GM22" s="45"/>
      <c r="GN22" s="45"/>
      <c r="GO22" s="45"/>
      <c r="GP22" s="45"/>
      <c r="GQ22" s="45"/>
      <c r="GR22" s="45"/>
      <c r="GS22" s="45"/>
      <c r="GT22" s="45"/>
      <c r="GU22" s="45"/>
      <c r="GV22" s="45"/>
      <c r="GW22" s="45"/>
      <c r="GX22" s="45"/>
      <c r="GY22" s="45"/>
      <c r="GZ22" s="45"/>
      <c r="HA22" s="45"/>
      <c r="HB22" s="45"/>
      <c r="HC22" s="45"/>
      <c r="HD22" s="45"/>
      <c r="HE22" s="45"/>
      <c r="HF22" s="45"/>
      <c r="HG22" s="45"/>
      <c r="HH22" s="45"/>
      <c r="HI22" s="45"/>
      <c r="HJ22" s="45"/>
      <c r="HK22" s="45"/>
      <c r="HL22" s="45"/>
      <c r="HM22" s="45"/>
      <c r="HN22" s="45"/>
      <c r="HO22" s="45"/>
      <c r="HP22" s="45"/>
      <c r="HQ22" s="45"/>
      <c r="HR22" s="45"/>
      <c r="HS22" s="45"/>
      <c r="HT22" s="45"/>
      <c r="HU22" s="45"/>
      <c r="HV22" s="45"/>
      <c r="HW22" s="45"/>
      <c r="HX22" s="45"/>
      <c r="HY22" s="45"/>
      <c r="HZ22" s="45"/>
      <c r="IA22" s="45"/>
      <c r="IB22" s="45"/>
      <c r="IC22" s="45"/>
      <c r="ID22" s="45"/>
      <c r="IE22" s="45"/>
      <c r="IF22" s="45"/>
      <c r="IG22" s="45"/>
      <c r="IH22" s="45"/>
      <c r="II22" s="45"/>
      <c r="IJ22" s="45"/>
      <c r="IK22" s="45"/>
      <c r="IL22" s="45"/>
      <c r="IM22" s="45"/>
      <c r="IN22" s="45"/>
      <c r="IO22" s="45"/>
      <c r="IP22" s="45"/>
      <c r="IQ22" s="45"/>
      <c r="IR22" s="45"/>
      <c r="IS22" s="45"/>
      <c r="IT22" s="45"/>
      <c r="IU22" s="45"/>
      <c r="IV22" s="45"/>
      <c r="IW22" s="45"/>
      <c r="IX22" s="45"/>
      <c r="IY22" s="45"/>
      <c r="IZ22" s="45"/>
      <c r="JA22" s="45"/>
      <c r="JB22" s="45"/>
      <c r="JC22" s="45"/>
      <c r="JD22" s="45"/>
      <c r="JE22" s="45"/>
      <c r="JF22" s="45"/>
      <c r="JG22" s="45"/>
      <c r="JH22" s="45"/>
      <c r="JI22" s="45"/>
      <c r="JJ22" s="45"/>
      <c r="JK22" s="45"/>
      <c r="JL22" s="45"/>
      <c r="JM22" s="45"/>
    </row>
    <row r="23" spans="1:273" s="41" customFormat="1" ht="30" customHeight="1" thickBot="1" x14ac:dyDescent="0.35">
      <c r="A23" s="12"/>
      <c r="B23" s="62" t="s">
        <v>39</v>
      </c>
      <c r="C23" s="63"/>
      <c r="D23" s="64"/>
      <c r="E23" s="64"/>
      <c r="F23" s="15"/>
      <c r="G23" s="4" t="str">
        <f t="shared" si="159"/>
        <v/>
      </c>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c r="CK23" s="45"/>
      <c r="CL23" s="45"/>
      <c r="CM23" s="45"/>
      <c r="CN23" s="45"/>
      <c r="CO23" s="45"/>
      <c r="CP23" s="45"/>
      <c r="CQ23" s="45"/>
      <c r="CR23" s="45"/>
      <c r="CS23" s="45"/>
      <c r="CT23" s="45"/>
      <c r="CU23" s="45"/>
      <c r="CV23" s="45"/>
      <c r="CW23" s="45"/>
      <c r="CX23" s="45"/>
      <c r="CY23" s="45"/>
      <c r="CZ23" s="45"/>
      <c r="DA23" s="45"/>
      <c r="DB23" s="45"/>
      <c r="DC23" s="45"/>
      <c r="DD23" s="45"/>
      <c r="DE23" s="45"/>
      <c r="DF23" s="45"/>
      <c r="DG23" s="45"/>
      <c r="DH23" s="45"/>
      <c r="DI23" s="45"/>
      <c r="DJ23" s="45"/>
      <c r="DK23" s="45"/>
      <c r="DL23" s="45"/>
      <c r="DM23" s="45"/>
      <c r="DN23" s="45"/>
      <c r="DO23" s="45"/>
      <c r="DP23" s="45"/>
      <c r="DQ23" s="45"/>
      <c r="DR23" s="45"/>
      <c r="DS23" s="45"/>
      <c r="DT23" s="45"/>
      <c r="DU23" s="45"/>
      <c r="DV23" s="45"/>
      <c r="DW23" s="45"/>
      <c r="DX23" s="45"/>
      <c r="DY23" s="45"/>
      <c r="DZ23" s="45"/>
      <c r="EA23" s="45"/>
      <c r="EB23" s="45"/>
      <c r="EC23" s="45"/>
      <c r="ED23" s="45"/>
      <c r="EE23" s="45"/>
      <c r="EF23" s="45"/>
      <c r="EG23" s="45"/>
      <c r="EH23" s="45"/>
      <c r="EI23" s="45"/>
      <c r="EJ23" s="45"/>
      <c r="EK23" s="45"/>
      <c r="EL23" s="45"/>
      <c r="EM23" s="45"/>
      <c r="EN23" s="45"/>
      <c r="EO23" s="45"/>
      <c r="EP23" s="45"/>
      <c r="EQ23" s="45"/>
      <c r="ER23" s="45"/>
      <c r="ES23" s="45"/>
      <c r="ET23" s="45"/>
      <c r="EU23" s="45"/>
      <c r="EV23" s="45"/>
      <c r="EW23" s="45"/>
      <c r="EX23" s="45"/>
      <c r="EY23" s="45"/>
      <c r="EZ23" s="45"/>
      <c r="FA23" s="45"/>
      <c r="FB23" s="45"/>
      <c r="FC23" s="45"/>
      <c r="FD23" s="45"/>
      <c r="FE23" s="45"/>
      <c r="FF23" s="45"/>
      <c r="FG23" s="45"/>
      <c r="FH23" s="45"/>
      <c r="FI23" s="45"/>
      <c r="FJ23" s="45"/>
      <c r="FK23" s="45"/>
      <c r="FL23" s="45"/>
      <c r="FM23" s="45"/>
      <c r="FN23" s="45"/>
      <c r="FO23" s="45"/>
      <c r="FP23" s="45"/>
      <c r="FQ23" s="45"/>
      <c r="FR23" s="45"/>
      <c r="FS23" s="45"/>
      <c r="FT23" s="45"/>
      <c r="FU23" s="45"/>
      <c r="FV23" s="45"/>
      <c r="FW23" s="45"/>
      <c r="FX23" s="45"/>
      <c r="FY23" s="45"/>
      <c r="FZ23" s="45"/>
      <c r="GA23" s="45"/>
      <c r="GB23" s="45"/>
      <c r="GC23" s="45"/>
      <c r="GD23" s="45"/>
      <c r="GE23" s="45"/>
      <c r="GF23" s="45"/>
      <c r="GG23" s="45"/>
      <c r="GH23" s="45"/>
      <c r="GI23" s="45"/>
      <c r="GJ23" s="45"/>
      <c r="GK23" s="45"/>
      <c r="GL23" s="45"/>
      <c r="GM23" s="45"/>
      <c r="GN23" s="45"/>
      <c r="GO23" s="45"/>
      <c r="GP23" s="45"/>
      <c r="GQ23" s="45"/>
      <c r="GR23" s="45"/>
      <c r="GS23" s="45"/>
      <c r="GT23" s="45"/>
      <c r="GU23" s="45"/>
      <c r="GV23" s="45"/>
      <c r="GW23" s="45"/>
      <c r="GX23" s="45"/>
      <c r="GY23" s="45"/>
      <c r="GZ23" s="45"/>
      <c r="HA23" s="45"/>
      <c r="HB23" s="45"/>
      <c r="HC23" s="45"/>
      <c r="HD23" s="45"/>
      <c r="HE23" s="45"/>
      <c r="HF23" s="45"/>
      <c r="HG23" s="45"/>
      <c r="HH23" s="45"/>
      <c r="HI23" s="45"/>
      <c r="HJ23" s="45"/>
      <c r="HK23" s="45"/>
      <c r="HL23" s="45"/>
      <c r="HM23" s="45"/>
      <c r="HN23" s="45"/>
      <c r="HO23" s="45"/>
      <c r="HP23" s="45"/>
      <c r="HQ23" s="45"/>
      <c r="HR23" s="45"/>
      <c r="HS23" s="45"/>
      <c r="HT23" s="45"/>
      <c r="HU23" s="45"/>
      <c r="HV23" s="45"/>
      <c r="HW23" s="45"/>
      <c r="HX23" s="45"/>
      <c r="HY23" s="45"/>
      <c r="HZ23" s="45"/>
      <c r="IA23" s="45"/>
      <c r="IB23" s="45"/>
      <c r="IC23" s="45"/>
      <c r="ID23" s="45"/>
      <c r="IE23" s="45"/>
      <c r="IF23" s="45"/>
      <c r="IG23" s="45"/>
      <c r="IH23" s="45"/>
      <c r="II23" s="45"/>
      <c r="IJ23" s="45"/>
      <c r="IK23" s="45"/>
      <c r="IL23" s="45"/>
      <c r="IM23" s="45"/>
      <c r="IN23" s="45"/>
      <c r="IO23" s="45"/>
      <c r="IP23" s="45"/>
      <c r="IQ23" s="45"/>
      <c r="IR23" s="45"/>
      <c r="IS23" s="45"/>
      <c r="IT23" s="45"/>
      <c r="IU23" s="45"/>
      <c r="IV23" s="45"/>
      <c r="IW23" s="45"/>
      <c r="IX23" s="45"/>
      <c r="IY23" s="45"/>
      <c r="IZ23" s="45"/>
      <c r="JA23" s="45"/>
      <c r="JB23" s="45"/>
      <c r="JC23" s="45"/>
      <c r="JD23" s="45"/>
      <c r="JE23" s="45"/>
      <c r="JF23" s="45"/>
      <c r="JG23" s="45"/>
      <c r="JH23" s="45"/>
      <c r="JI23" s="45"/>
      <c r="JJ23" s="45"/>
      <c r="JK23" s="45"/>
      <c r="JL23" s="45"/>
      <c r="JM23" s="45"/>
    </row>
    <row r="24" spans="1:273" s="41" customFormat="1" ht="30" customHeight="1" thickBot="1" x14ac:dyDescent="0.35">
      <c r="A24" s="12"/>
      <c r="B24" s="62" t="s">
        <v>43</v>
      </c>
      <c r="C24" s="63"/>
      <c r="D24" s="64"/>
      <c r="E24" s="64"/>
      <c r="F24" s="15"/>
      <c r="G24" s="4" t="str">
        <f t="shared" si="159"/>
        <v/>
      </c>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45"/>
      <c r="EJ24" s="45"/>
      <c r="EK24" s="45"/>
      <c r="EL24" s="45"/>
      <c r="EM24" s="45"/>
      <c r="EN24" s="45"/>
      <c r="EO24" s="45"/>
      <c r="EP24" s="45"/>
      <c r="EQ24" s="45"/>
      <c r="ER24" s="45"/>
      <c r="ES24" s="45"/>
      <c r="ET24" s="45"/>
      <c r="EU24" s="45"/>
      <c r="EV24" s="45"/>
      <c r="EW24" s="45"/>
      <c r="EX24" s="45"/>
      <c r="EY24" s="45"/>
      <c r="EZ24" s="45"/>
      <c r="FA24" s="45"/>
      <c r="FB24" s="45"/>
      <c r="FC24" s="45"/>
      <c r="FD24" s="45"/>
      <c r="FE24" s="45"/>
      <c r="FF24" s="45"/>
      <c r="FG24" s="45"/>
      <c r="FH24" s="45"/>
      <c r="FI24" s="45"/>
      <c r="FJ24" s="45"/>
      <c r="FK24" s="45"/>
      <c r="FL24" s="45"/>
      <c r="FM24" s="45"/>
      <c r="FN24" s="45"/>
      <c r="FO24" s="45"/>
      <c r="FP24" s="45"/>
      <c r="FQ24" s="45"/>
      <c r="FR24" s="45"/>
      <c r="FS24" s="45"/>
      <c r="FT24" s="45"/>
      <c r="FU24" s="45"/>
      <c r="FV24" s="45"/>
      <c r="FW24" s="45"/>
      <c r="FX24" s="45"/>
      <c r="FY24" s="45"/>
      <c r="FZ24" s="45"/>
      <c r="GA24" s="45"/>
      <c r="GB24" s="45"/>
      <c r="GC24" s="45"/>
      <c r="GD24" s="45"/>
      <c r="GE24" s="45"/>
      <c r="GF24" s="45"/>
      <c r="GG24" s="45"/>
      <c r="GH24" s="45"/>
      <c r="GI24" s="45"/>
      <c r="GJ24" s="45"/>
      <c r="GK24" s="45"/>
      <c r="GL24" s="45"/>
      <c r="GM24" s="45"/>
      <c r="GN24" s="45"/>
      <c r="GO24" s="45"/>
      <c r="GP24" s="45"/>
      <c r="GQ24" s="45"/>
      <c r="GR24" s="45"/>
      <c r="GS24" s="45"/>
      <c r="GT24" s="45"/>
      <c r="GU24" s="45"/>
      <c r="GV24" s="45"/>
      <c r="GW24" s="45"/>
      <c r="GX24" s="45"/>
      <c r="GY24" s="45"/>
      <c r="GZ24" s="45"/>
      <c r="HA24" s="45"/>
      <c r="HB24" s="45"/>
      <c r="HC24" s="45"/>
      <c r="HD24" s="45"/>
      <c r="HE24" s="45"/>
      <c r="HF24" s="45"/>
      <c r="HG24" s="45"/>
      <c r="HH24" s="45"/>
      <c r="HI24" s="45"/>
      <c r="HJ24" s="45"/>
      <c r="HK24" s="45"/>
      <c r="HL24" s="45"/>
      <c r="HM24" s="45"/>
      <c r="HN24" s="45"/>
      <c r="HO24" s="45"/>
      <c r="HP24" s="45"/>
      <c r="HQ24" s="45"/>
      <c r="HR24" s="45"/>
      <c r="HS24" s="45"/>
      <c r="HT24" s="45"/>
      <c r="HU24" s="45"/>
      <c r="HV24" s="45"/>
      <c r="HW24" s="45"/>
      <c r="HX24" s="45"/>
      <c r="HY24" s="45"/>
      <c r="HZ24" s="45"/>
      <c r="IA24" s="45"/>
      <c r="IB24" s="45"/>
      <c r="IC24" s="45"/>
      <c r="ID24" s="45"/>
      <c r="IE24" s="45"/>
      <c r="IF24" s="45"/>
      <c r="IG24" s="45"/>
      <c r="IH24" s="45"/>
      <c r="II24" s="45"/>
      <c r="IJ24" s="45"/>
      <c r="IK24" s="45"/>
      <c r="IL24" s="45"/>
      <c r="IM24" s="45"/>
      <c r="IN24" s="45"/>
      <c r="IO24" s="45"/>
      <c r="IP24" s="45"/>
      <c r="IQ24" s="45"/>
      <c r="IR24" s="45"/>
      <c r="IS24" s="45"/>
      <c r="IT24" s="45"/>
      <c r="IU24" s="45"/>
      <c r="IV24" s="45"/>
      <c r="IW24" s="45"/>
      <c r="IX24" s="45"/>
      <c r="IY24" s="45"/>
      <c r="IZ24" s="45"/>
      <c r="JA24" s="45"/>
      <c r="JB24" s="45"/>
      <c r="JC24" s="45"/>
      <c r="JD24" s="45"/>
      <c r="JE24" s="45"/>
      <c r="JF24" s="45"/>
      <c r="JG24" s="45"/>
      <c r="JH24" s="45"/>
      <c r="JI24" s="45"/>
      <c r="JJ24" s="45"/>
      <c r="JK24" s="45"/>
      <c r="JL24" s="45"/>
      <c r="JM24" s="45"/>
    </row>
    <row r="25" spans="1:273" s="41" customFormat="1" ht="30" customHeight="1" thickBot="1" x14ac:dyDescent="0.35">
      <c r="A25" s="12"/>
      <c r="B25" s="62"/>
      <c r="C25" s="63"/>
      <c r="D25" s="64"/>
      <c r="E25" s="64"/>
      <c r="F25" s="15"/>
      <c r="G25" s="4" t="str">
        <f t="shared" si="159"/>
        <v/>
      </c>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c r="CO25" s="45"/>
      <c r="CP25" s="45"/>
      <c r="CQ25" s="45"/>
      <c r="CR25" s="45"/>
      <c r="CS25" s="45"/>
      <c r="CT25" s="45"/>
      <c r="CU25" s="45"/>
      <c r="CV25" s="45"/>
      <c r="CW25" s="45"/>
      <c r="CX25" s="45"/>
      <c r="CY25" s="45"/>
      <c r="CZ25" s="45"/>
      <c r="DA25" s="45"/>
      <c r="DB25" s="45"/>
      <c r="DC25" s="45"/>
      <c r="DD25" s="45"/>
      <c r="DE25" s="45"/>
      <c r="DF25" s="45"/>
      <c r="DG25" s="45"/>
      <c r="DH25" s="45"/>
      <c r="DI25" s="45"/>
      <c r="DJ25" s="45"/>
      <c r="DK25" s="45"/>
      <c r="DL25" s="45"/>
      <c r="DM25" s="45"/>
      <c r="DN25" s="45"/>
      <c r="DO25" s="45"/>
      <c r="DP25" s="45"/>
      <c r="DQ25" s="45"/>
      <c r="DR25" s="45"/>
      <c r="DS25" s="45"/>
      <c r="DT25" s="45"/>
      <c r="DU25" s="45"/>
      <c r="DV25" s="45"/>
      <c r="DW25" s="45"/>
      <c r="DX25" s="45"/>
      <c r="DY25" s="45"/>
      <c r="DZ25" s="45"/>
      <c r="EA25" s="45"/>
      <c r="EB25" s="45"/>
      <c r="EC25" s="45"/>
      <c r="ED25" s="45"/>
      <c r="EE25" s="45"/>
      <c r="EF25" s="45"/>
      <c r="EG25" s="45"/>
      <c r="EH25" s="45"/>
      <c r="EI25" s="45"/>
      <c r="EJ25" s="45"/>
      <c r="EK25" s="45"/>
      <c r="EL25" s="45"/>
      <c r="EM25" s="45"/>
      <c r="EN25" s="45"/>
      <c r="EO25" s="45"/>
      <c r="EP25" s="45"/>
      <c r="EQ25" s="45"/>
      <c r="ER25" s="45"/>
      <c r="ES25" s="45"/>
      <c r="ET25" s="45"/>
      <c r="EU25" s="45"/>
      <c r="EV25" s="45"/>
      <c r="EW25" s="45"/>
      <c r="EX25" s="45"/>
      <c r="EY25" s="45"/>
      <c r="EZ25" s="45"/>
      <c r="FA25" s="45"/>
      <c r="FB25" s="45"/>
      <c r="FC25" s="45"/>
      <c r="FD25" s="45"/>
      <c r="FE25" s="45"/>
      <c r="FF25" s="45"/>
      <c r="FG25" s="45"/>
      <c r="FH25" s="45"/>
      <c r="FI25" s="45"/>
      <c r="FJ25" s="45"/>
      <c r="FK25" s="45"/>
      <c r="FL25" s="45"/>
      <c r="FM25" s="45"/>
      <c r="FN25" s="45"/>
      <c r="FO25" s="45"/>
      <c r="FP25" s="45"/>
      <c r="FQ25" s="45"/>
      <c r="FR25" s="45"/>
      <c r="FS25" s="45"/>
      <c r="FT25" s="45"/>
      <c r="FU25" s="45"/>
      <c r="FV25" s="45"/>
      <c r="FW25" s="45"/>
      <c r="FX25" s="45"/>
      <c r="FY25" s="45"/>
      <c r="FZ25" s="45"/>
      <c r="GA25" s="45"/>
      <c r="GB25" s="45"/>
      <c r="GC25" s="45"/>
      <c r="GD25" s="45"/>
      <c r="GE25" s="45"/>
      <c r="GF25" s="45"/>
      <c r="GG25" s="45"/>
      <c r="GH25" s="45"/>
      <c r="GI25" s="45"/>
      <c r="GJ25" s="45"/>
      <c r="GK25" s="45"/>
      <c r="GL25" s="45"/>
      <c r="GM25" s="45"/>
      <c r="GN25" s="45"/>
      <c r="GO25" s="45"/>
      <c r="GP25" s="45"/>
      <c r="GQ25" s="45"/>
      <c r="GR25" s="45"/>
      <c r="GS25" s="45"/>
      <c r="GT25" s="45"/>
      <c r="GU25" s="45"/>
      <c r="GV25" s="45"/>
      <c r="GW25" s="45"/>
      <c r="GX25" s="45"/>
      <c r="GY25" s="45"/>
      <c r="GZ25" s="45"/>
      <c r="HA25" s="45"/>
      <c r="HB25" s="45"/>
      <c r="HC25" s="45"/>
      <c r="HD25" s="45"/>
      <c r="HE25" s="45"/>
      <c r="HF25" s="45"/>
      <c r="HG25" s="45"/>
      <c r="HH25" s="45"/>
      <c r="HI25" s="45"/>
      <c r="HJ25" s="45"/>
      <c r="HK25" s="45"/>
      <c r="HL25" s="45"/>
      <c r="HM25" s="45"/>
      <c r="HN25" s="45"/>
      <c r="HO25" s="45"/>
      <c r="HP25" s="45"/>
      <c r="HQ25" s="45"/>
      <c r="HR25" s="45"/>
      <c r="HS25" s="45"/>
      <c r="HT25" s="45"/>
      <c r="HU25" s="45"/>
      <c r="HV25" s="45"/>
      <c r="HW25" s="45"/>
      <c r="HX25" s="45"/>
      <c r="HY25" s="45"/>
      <c r="HZ25" s="45"/>
      <c r="IA25" s="45"/>
      <c r="IB25" s="45"/>
      <c r="IC25" s="45"/>
      <c r="ID25" s="45"/>
      <c r="IE25" s="45"/>
      <c r="IF25" s="45"/>
      <c r="IG25" s="45"/>
      <c r="IH25" s="45"/>
      <c r="II25" s="45"/>
      <c r="IJ25" s="45"/>
      <c r="IK25" s="45"/>
      <c r="IL25" s="45"/>
      <c r="IM25" s="45"/>
      <c r="IN25" s="45"/>
      <c r="IO25" s="45"/>
      <c r="IP25" s="45"/>
      <c r="IQ25" s="45"/>
      <c r="IR25" s="45"/>
      <c r="IS25" s="45"/>
      <c r="IT25" s="45"/>
      <c r="IU25" s="45"/>
      <c r="IV25" s="45"/>
      <c r="IW25" s="45"/>
      <c r="IX25" s="45"/>
      <c r="IY25" s="45"/>
      <c r="IZ25" s="45"/>
      <c r="JA25" s="45"/>
      <c r="JB25" s="45"/>
      <c r="JC25" s="45"/>
      <c r="JD25" s="45"/>
      <c r="JE25" s="45"/>
      <c r="JF25" s="45"/>
      <c r="JG25" s="45"/>
      <c r="JH25" s="45"/>
      <c r="JI25" s="45"/>
      <c r="JJ25" s="45"/>
      <c r="JK25" s="45"/>
      <c r="JL25" s="45"/>
      <c r="JM25" s="45"/>
    </row>
    <row r="26" spans="1:273" s="41" customFormat="1" ht="30" customHeight="1" thickBot="1" x14ac:dyDescent="0.35">
      <c r="A26" s="12"/>
      <c r="B26" s="65" t="s">
        <v>35</v>
      </c>
      <c r="C26" s="66"/>
      <c r="D26" s="67"/>
      <c r="E26" s="68"/>
      <c r="F26" s="15"/>
      <c r="G26" s="4" t="str">
        <f t="shared" si="159"/>
        <v/>
      </c>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c r="CC26" s="69"/>
      <c r="CD26" s="69"/>
      <c r="CE26" s="69"/>
      <c r="CF26" s="69"/>
      <c r="CG26" s="69"/>
      <c r="CH26" s="69"/>
      <c r="CI26" s="69"/>
      <c r="CJ26" s="69"/>
      <c r="CK26" s="69"/>
      <c r="CL26" s="69"/>
      <c r="CM26" s="69"/>
      <c r="CN26" s="69"/>
      <c r="CO26" s="69"/>
      <c r="CP26" s="69"/>
      <c r="CQ26" s="69"/>
      <c r="CR26" s="69"/>
      <c r="CS26" s="69"/>
      <c r="CT26" s="69"/>
      <c r="CU26" s="69"/>
      <c r="CV26" s="69"/>
      <c r="CW26" s="69"/>
      <c r="CX26" s="69"/>
      <c r="CY26" s="69"/>
      <c r="CZ26" s="69"/>
      <c r="DA26" s="69"/>
      <c r="DB26" s="69"/>
      <c r="DC26" s="69"/>
      <c r="DD26" s="69"/>
      <c r="DE26" s="69"/>
      <c r="DF26" s="69"/>
      <c r="DG26" s="69"/>
      <c r="DH26" s="69"/>
      <c r="DI26" s="69"/>
      <c r="DJ26" s="69"/>
      <c r="DK26" s="69"/>
      <c r="DL26" s="69"/>
      <c r="DM26" s="69"/>
      <c r="DN26" s="69"/>
      <c r="DO26" s="69"/>
      <c r="DP26" s="69"/>
      <c r="DQ26" s="69"/>
      <c r="DR26" s="69"/>
      <c r="DS26" s="69"/>
      <c r="DT26" s="69"/>
      <c r="DU26" s="69"/>
      <c r="DV26" s="69"/>
      <c r="DW26" s="69"/>
      <c r="DX26" s="69"/>
      <c r="DY26" s="69"/>
      <c r="DZ26" s="69"/>
      <c r="EA26" s="69"/>
      <c r="EB26" s="69"/>
      <c r="EC26" s="69"/>
      <c r="ED26" s="69"/>
      <c r="EE26" s="69"/>
      <c r="EF26" s="69"/>
      <c r="EG26" s="69"/>
      <c r="EH26" s="69"/>
      <c r="EI26" s="69"/>
      <c r="EJ26" s="69"/>
      <c r="EK26" s="69"/>
      <c r="EL26" s="69"/>
      <c r="EM26" s="69"/>
      <c r="EN26" s="69"/>
      <c r="EO26" s="69"/>
      <c r="EP26" s="69"/>
      <c r="EQ26" s="69"/>
      <c r="ER26" s="69"/>
      <c r="ES26" s="69"/>
      <c r="ET26" s="69"/>
      <c r="EU26" s="69"/>
      <c r="EV26" s="69"/>
      <c r="EW26" s="69"/>
      <c r="EX26" s="69"/>
      <c r="EY26" s="69"/>
      <c r="EZ26" s="69"/>
      <c r="FA26" s="69"/>
      <c r="FB26" s="69"/>
      <c r="FC26" s="69"/>
      <c r="FD26" s="69"/>
      <c r="FE26" s="69"/>
      <c r="FF26" s="69"/>
      <c r="FG26" s="69"/>
      <c r="FH26" s="69"/>
      <c r="FI26" s="69"/>
      <c r="FJ26" s="69"/>
      <c r="FK26" s="69"/>
      <c r="FL26" s="69"/>
      <c r="FM26" s="69"/>
      <c r="FN26" s="69"/>
      <c r="FO26" s="69"/>
      <c r="FP26" s="69"/>
      <c r="FQ26" s="69"/>
      <c r="FR26" s="69"/>
      <c r="FS26" s="69"/>
      <c r="FT26" s="69"/>
      <c r="FU26" s="69"/>
      <c r="FV26" s="69"/>
      <c r="FW26" s="69"/>
      <c r="FX26" s="69"/>
      <c r="FY26" s="69"/>
      <c r="FZ26" s="69"/>
      <c r="GA26" s="69"/>
      <c r="GB26" s="69"/>
      <c r="GC26" s="69"/>
      <c r="GD26" s="69"/>
      <c r="GE26" s="69"/>
      <c r="GF26" s="69"/>
      <c r="GG26" s="69"/>
      <c r="GH26" s="69"/>
      <c r="GI26" s="69"/>
      <c r="GJ26" s="69"/>
      <c r="GK26" s="69"/>
      <c r="GL26" s="69"/>
      <c r="GM26" s="69"/>
      <c r="GN26" s="69"/>
      <c r="GO26" s="69"/>
      <c r="GP26" s="69"/>
      <c r="GQ26" s="69"/>
      <c r="GR26" s="69"/>
      <c r="GS26" s="69"/>
      <c r="GT26" s="69"/>
      <c r="GU26" s="69"/>
      <c r="GV26" s="69"/>
      <c r="GW26" s="69"/>
      <c r="GX26" s="69"/>
      <c r="GY26" s="69"/>
      <c r="GZ26" s="69"/>
      <c r="HA26" s="69"/>
      <c r="HB26" s="69"/>
      <c r="HC26" s="69"/>
      <c r="HD26" s="69"/>
      <c r="HE26" s="69"/>
      <c r="HF26" s="69"/>
      <c r="HG26" s="69"/>
      <c r="HH26" s="69"/>
      <c r="HI26" s="69"/>
      <c r="HJ26" s="69"/>
      <c r="HK26" s="69"/>
      <c r="HL26" s="69"/>
      <c r="HM26" s="69"/>
      <c r="HN26" s="69"/>
      <c r="HO26" s="69"/>
      <c r="HP26" s="69"/>
      <c r="HQ26" s="69"/>
      <c r="HR26" s="69"/>
      <c r="HS26" s="69"/>
      <c r="HT26" s="69"/>
      <c r="HU26" s="69"/>
      <c r="HV26" s="69"/>
      <c r="HW26" s="69"/>
      <c r="HX26" s="69"/>
      <c r="HY26" s="69"/>
      <c r="HZ26" s="69"/>
      <c r="IA26" s="69"/>
      <c r="IB26" s="69"/>
      <c r="IC26" s="69"/>
      <c r="ID26" s="69"/>
      <c r="IE26" s="69"/>
      <c r="IF26" s="69"/>
      <c r="IG26" s="69"/>
      <c r="IH26" s="69"/>
      <c r="II26" s="69"/>
      <c r="IJ26" s="69"/>
      <c r="IK26" s="69"/>
      <c r="IL26" s="69"/>
      <c r="IM26" s="69"/>
      <c r="IN26" s="69"/>
      <c r="IO26" s="69"/>
      <c r="IP26" s="69"/>
      <c r="IQ26" s="69"/>
      <c r="IR26" s="69"/>
      <c r="IS26" s="69"/>
      <c r="IT26" s="69"/>
      <c r="IU26" s="69"/>
      <c r="IV26" s="69"/>
      <c r="IW26" s="69"/>
      <c r="IX26" s="69"/>
      <c r="IY26" s="69"/>
      <c r="IZ26" s="69"/>
      <c r="JA26" s="69"/>
      <c r="JB26" s="69"/>
      <c r="JC26" s="69"/>
      <c r="JD26" s="69"/>
      <c r="JE26" s="69"/>
      <c r="JF26" s="69"/>
      <c r="JG26" s="69"/>
      <c r="JH26" s="69"/>
      <c r="JI26" s="69"/>
      <c r="JJ26" s="69"/>
      <c r="JK26" s="69"/>
      <c r="JL26" s="69"/>
      <c r="JM26" s="69"/>
    </row>
    <row r="27" spans="1:273" s="41" customFormat="1" ht="30" customHeight="1" thickBot="1" x14ac:dyDescent="0.35">
      <c r="A27" s="12"/>
      <c r="B27" s="70" t="s">
        <v>36</v>
      </c>
      <c r="C27" s="71"/>
      <c r="D27" s="72"/>
      <c r="E27" s="72"/>
      <c r="F27" s="15"/>
      <c r="G27" s="4" t="str">
        <f t="shared" si="159"/>
        <v/>
      </c>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c r="CH27" s="45"/>
      <c r="CI27" s="45"/>
      <c r="CJ27" s="45"/>
      <c r="CK27" s="45"/>
      <c r="CL27" s="45"/>
      <c r="CM27" s="45"/>
      <c r="CN27" s="45"/>
      <c r="CO27" s="45"/>
      <c r="CP27" s="45"/>
      <c r="CQ27" s="45"/>
      <c r="CR27" s="45"/>
      <c r="CS27" s="45"/>
      <c r="CT27" s="45"/>
      <c r="CU27" s="45"/>
      <c r="CV27" s="45"/>
      <c r="CW27" s="45"/>
      <c r="CX27" s="45"/>
      <c r="CY27" s="45"/>
      <c r="CZ27" s="45"/>
      <c r="DA27" s="45"/>
      <c r="DB27" s="45"/>
      <c r="DC27" s="45"/>
      <c r="DD27" s="45"/>
      <c r="DE27" s="45"/>
      <c r="DF27" s="45"/>
      <c r="DG27" s="45"/>
      <c r="DH27" s="45"/>
      <c r="DI27" s="45"/>
      <c r="DJ27" s="45"/>
      <c r="DK27" s="45"/>
      <c r="DL27" s="45"/>
      <c r="DM27" s="45"/>
      <c r="DN27" s="45"/>
      <c r="DO27" s="45"/>
      <c r="DP27" s="45"/>
      <c r="DQ27" s="45"/>
      <c r="DR27" s="45"/>
      <c r="DS27" s="45"/>
      <c r="DT27" s="45"/>
      <c r="DU27" s="45"/>
      <c r="DV27" s="45"/>
      <c r="DW27" s="45"/>
      <c r="DX27" s="45"/>
      <c r="DY27" s="45"/>
      <c r="DZ27" s="45"/>
      <c r="EA27" s="45"/>
      <c r="EB27" s="45"/>
      <c r="EC27" s="45"/>
      <c r="ED27" s="45"/>
      <c r="EE27" s="45"/>
      <c r="EF27" s="45"/>
      <c r="EG27" s="45"/>
      <c r="EH27" s="45"/>
      <c r="EI27" s="45"/>
      <c r="EJ27" s="45"/>
      <c r="EK27" s="45"/>
      <c r="EL27" s="45"/>
      <c r="EM27" s="45"/>
      <c r="EN27" s="45"/>
      <c r="EO27" s="45"/>
      <c r="EP27" s="45"/>
      <c r="EQ27" s="45"/>
      <c r="ER27" s="45"/>
      <c r="ES27" s="45"/>
      <c r="ET27" s="45"/>
      <c r="EU27" s="45"/>
      <c r="EV27" s="45"/>
      <c r="EW27" s="45"/>
      <c r="EX27" s="45"/>
      <c r="EY27" s="45"/>
      <c r="EZ27" s="45"/>
      <c r="FA27" s="45"/>
      <c r="FB27" s="45"/>
      <c r="FC27" s="45"/>
      <c r="FD27" s="45"/>
      <c r="FE27" s="45"/>
      <c r="FF27" s="45"/>
      <c r="FG27" s="45"/>
      <c r="FH27" s="45"/>
      <c r="FI27" s="45"/>
      <c r="FJ27" s="45"/>
      <c r="FK27" s="45"/>
      <c r="FL27" s="45"/>
      <c r="FM27" s="45"/>
      <c r="FN27" s="45"/>
      <c r="FO27" s="45"/>
      <c r="FP27" s="45"/>
      <c r="FQ27" s="45"/>
      <c r="FR27" s="45"/>
      <c r="FS27" s="45"/>
      <c r="FT27" s="45"/>
      <c r="FU27" s="45"/>
      <c r="FV27" s="45"/>
      <c r="FW27" s="45"/>
      <c r="FX27" s="45"/>
      <c r="FY27" s="45"/>
      <c r="FZ27" s="45"/>
      <c r="GA27" s="45"/>
      <c r="GB27" s="45"/>
      <c r="GC27" s="45"/>
      <c r="GD27" s="45"/>
      <c r="GE27" s="45"/>
      <c r="GF27" s="45"/>
      <c r="GG27" s="45"/>
      <c r="GH27" s="45"/>
      <c r="GI27" s="45"/>
      <c r="GJ27" s="45"/>
      <c r="GK27" s="45"/>
      <c r="GL27" s="45"/>
      <c r="GM27" s="45"/>
      <c r="GN27" s="45"/>
      <c r="GO27" s="45"/>
      <c r="GP27" s="45"/>
      <c r="GQ27" s="45"/>
      <c r="GR27" s="45"/>
      <c r="GS27" s="45"/>
      <c r="GT27" s="45"/>
      <c r="GU27" s="45"/>
      <c r="GV27" s="45"/>
      <c r="GW27" s="45"/>
      <c r="GX27" s="45"/>
      <c r="GY27" s="45"/>
      <c r="GZ27" s="45"/>
      <c r="HA27" s="45"/>
      <c r="HB27" s="45"/>
      <c r="HC27" s="45"/>
      <c r="HD27" s="45"/>
      <c r="HE27" s="45"/>
      <c r="HF27" s="45"/>
      <c r="HG27" s="45"/>
      <c r="HH27" s="45"/>
      <c r="HI27" s="45"/>
      <c r="HJ27" s="45"/>
      <c r="HK27" s="45"/>
      <c r="HL27" s="45"/>
      <c r="HM27" s="45"/>
      <c r="HN27" s="45"/>
      <c r="HO27" s="45"/>
      <c r="HP27" s="45"/>
      <c r="HQ27" s="45"/>
      <c r="HR27" s="45"/>
      <c r="HS27" s="45"/>
      <c r="HT27" s="45"/>
      <c r="HU27" s="45"/>
      <c r="HV27" s="45"/>
      <c r="HW27" s="45"/>
      <c r="HX27" s="45"/>
      <c r="HY27" s="45"/>
      <c r="HZ27" s="45"/>
      <c r="IA27" s="45"/>
      <c r="IB27" s="45"/>
      <c r="IC27" s="45"/>
      <c r="ID27" s="45"/>
      <c r="IE27" s="45"/>
      <c r="IF27" s="45"/>
      <c r="IG27" s="45"/>
      <c r="IH27" s="45"/>
      <c r="II27" s="45"/>
      <c r="IJ27" s="45"/>
      <c r="IK27" s="45"/>
      <c r="IL27" s="45"/>
      <c r="IM27" s="45"/>
      <c r="IN27" s="45"/>
      <c r="IO27" s="45"/>
      <c r="IP27" s="45"/>
      <c r="IQ27" s="45"/>
      <c r="IR27" s="45"/>
      <c r="IS27" s="45"/>
      <c r="IT27" s="45"/>
      <c r="IU27" s="45"/>
      <c r="IV27" s="45"/>
      <c r="IW27" s="45"/>
      <c r="IX27" s="45"/>
      <c r="IY27" s="45"/>
      <c r="IZ27" s="45"/>
      <c r="JA27" s="45"/>
      <c r="JB27" s="45"/>
      <c r="JC27" s="45"/>
      <c r="JD27" s="45"/>
      <c r="JE27" s="45"/>
      <c r="JF27" s="45"/>
      <c r="JG27" s="45"/>
      <c r="JH27" s="45"/>
      <c r="JI27" s="45"/>
      <c r="JJ27" s="45"/>
      <c r="JK27" s="45"/>
      <c r="JL27" s="45"/>
      <c r="JM27" s="45"/>
    </row>
    <row r="28" spans="1:273" s="41" customFormat="1" ht="30" customHeight="1" thickBot="1" x14ac:dyDescent="0.35">
      <c r="A28" s="12"/>
      <c r="B28" s="70" t="s">
        <v>40</v>
      </c>
      <c r="C28" s="71"/>
      <c r="D28" s="72"/>
      <c r="E28" s="72"/>
      <c r="F28" s="15"/>
      <c r="G28" s="4" t="str">
        <f t="shared" si="159"/>
        <v/>
      </c>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c r="CK28" s="45"/>
      <c r="CL28" s="45"/>
      <c r="CM28" s="45"/>
      <c r="CN28" s="45"/>
      <c r="CO28" s="45"/>
      <c r="CP28" s="45"/>
      <c r="CQ28" s="45"/>
      <c r="CR28" s="45"/>
      <c r="CS28" s="45"/>
      <c r="CT28" s="45"/>
      <c r="CU28" s="45"/>
      <c r="CV28" s="45"/>
      <c r="CW28" s="45"/>
      <c r="CX28" s="45"/>
      <c r="CY28" s="45"/>
      <c r="CZ28" s="45"/>
      <c r="DA28" s="45"/>
      <c r="DB28" s="45"/>
      <c r="DC28" s="45"/>
      <c r="DD28" s="45"/>
      <c r="DE28" s="45"/>
      <c r="DF28" s="45"/>
      <c r="DG28" s="45"/>
      <c r="DH28" s="45"/>
      <c r="DI28" s="45"/>
      <c r="DJ28" s="45"/>
      <c r="DK28" s="45"/>
      <c r="DL28" s="45"/>
      <c r="DM28" s="45"/>
      <c r="DN28" s="45"/>
      <c r="DO28" s="45"/>
      <c r="DP28" s="45"/>
      <c r="DQ28" s="45"/>
      <c r="DR28" s="45"/>
      <c r="DS28" s="45"/>
      <c r="DT28" s="45"/>
      <c r="DU28" s="45"/>
      <c r="DV28" s="45"/>
      <c r="DW28" s="45"/>
      <c r="DX28" s="45"/>
      <c r="DY28" s="45"/>
      <c r="DZ28" s="45"/>
      <c r="EA28" s="45"/>
      <c r="EB28" s="45"/>
      <c r="EC28" s="45"/>
      <c r="ED28" s="45"/>
      <c r="EE28" s="45"/>
      <c r="EF28" s="45"/>
      <c r="EG28" s="45"/>
      <c r="EH28" s="45"/>
      <c r="EI28" s="45"/>
      <c r="EJ28" s="45"/>
      <c r="EK28" s="45"/>
      <c r="EL28" s="45"/>
      <c r="EM28" s="45"/>
      <c r="EN28" s="45"/>
      <c r="EO28" s="45"/>
      <c r="EP28" s="45"/>
      <c r="EQ28" s="45"/>
      <c r="ER28" s="45"/>
      <c r="ES28" s="45"/>
      <c r="ET28" s="45"/>
      <c r="EU28" s="45"/>
      <c r="EV28" s="45"/>
      <c r="EW28" s="45"/>
      <c r="EX28" s="45"/>
      <c r="EY28" s="45"/>
      <c r="EZ28" s="45"/>
      <c r="FA28" s="45"/>
      <c r="FB28" s="45"/>
      <c r="FC28" s="45"/>
      <c r="FD28" s="45"/>
      <c r="FE28" s="45"/>
      <c r="FF28" s="45"/>
      <c r="FG28" s="45"/>
      <c r="FH28" s="45"/>
      <c r="FI28" s="45"/>
      <c r="FJ28" s="45"/>
      <c r="FK28" s="45"/>
      <c r="FL28" s="45"/>
      <c r="FM28" s="45"/>
      <c r="FN28" s="45"/>
      <c r="FO28" s="45"/>
      <c r="FP28" s="45"/>
      <c r="FQ28" s="45"/>
      <c r="FR28" s="45"/>
      <c r="FS28" s="45"/>
      <c r="FT28" s="45"/>
      <c r="FU28" s="45"/>
      <c r="FV28" s="45"/>
      <c r="FW28" s="45"/>
      <c r="FX28" s="45"/>
      <c r="FY28" s="45"/>
      <c r="FZ28" s="45"/>
      <c r="GA28" s="45"/>
      <c r="GB28" s="45"/>
      <c r="GC28" s="45"/>
      <c r="GD28" s="45"/>
      <c r="GE28" s="45"/>
      <c r="GF28" s="45"/>
      <c r="GG28" s="45"/>
      <c r="GH28" s="45"/>
      <c r="GI28" s="45"/>
      <c r="GJ28" s="45"/>
      <c r="GK28" s="45"/>
      <c r="GL28" s="45"/>
      <c r="GM28" s="45"/>
      <c r="GN28" s="45"/>
      <c r="GO28" s="45"/>
      <c r="GP28" s="45"/>
      <c r="GQ28" s="45"/>
      <c r="GR28" s="45"/>
      <c r="GS28" s="45"/>
      <c r="GT28" s="45"/>
      <c r="GU28" s="45"/>
      <c r="GV28" s="45"/>
      <c r="GW28" s="45"/>
      <c r="GX28" s="45"/>
      <c r="GY28" s="45"/>
      <c r="GZ28" s="45"/>
      <c r="HA28" s="45"/>
      <c r="HB28" s="45"/>
      <c r="HC28" s="45"/>
      <c r="HD28" s="45"/>
      <c r="HE28" s="45"/>
      <c r="HF28" s="45"/>
      <c r="HG28" s="45"/>
      <c r="HH28" s="45"/>
      <c r="HI28" s="45"/>
      <c r="HJ28" s="45"/>
      <c r="HK28" s="45"/>
      <c r="HL28" s="45"/>
      <c r="HM28" s="45"/>
      <c r="HN28" s="45"/>
      <c r="HO28" s="45"/>
      <c r="HP28" s="45"/>
      <c r="HQ28" s="45"/>
      <c r="HR28" s="45"/>
      <c r="HS28" s="45"/>
      <c r="HT28" s="45"/>
      <c r="HU28" s="45"/>
      <c r="HV28" s="45"/>
      <c r="HW28" s="45"/>
      <c r="HX28" s="45"/>
      <c r="HY28" s="45"/>
      <c r="HZ28" s="45"/>
      <c r="IA28" s="45"/>
      <c r="IB28" s="45"/>
      <c r="IC28" s="45"/>
      <c r="ID28" s="45"/>
      <c r="IE28" s="45"/>
      <c r="IF28" s="45"/>
      <c r="IG28" s="45"/>
      <c r="IH28" s="45"/>
      <c r="II28" s="45"/>
      <c r="IJ28" s="45"/>
      <c r="IK28" s="45"/>
      <c r="IL28" s="45"/>
      <c r="IM28" s="45"/>
      <c r="IN28" s="45"/>
      <c r="IO28" s="45"/>
      <c r="IP28" s="45"/>
      <c r="IQ28" s="45"/>
      <c r="IR28" s="45"/>
      <c r="IS28" s="45"/>
      <c r="IT28" s="45"/>
      <c r="IU28" s="45"/>
      <c r="IV28" s="45"/>
      <c r="IW28" s="45"/>
      <c r="IX28" s="45"/>
      <c r="IY28" s="45"/>
      <c r="IZ28" s="45"/>
      <c r="JA28" s="45"/>
      <c r="JB28" s="45"/>
      <c r="JC28" s="45"/>
      <c r="JD28" s="45"/>
      <c r="JE28" s="45"/>
      <c r="JF28" s="45"/>
      <c r="JG28" s="45"/>
      <c r="JH28" s="45"/>
      <c r="JI28" s="45"/>
      <c r="JJ28" s="45"/>
      <c r="JK28" s="45"/>
      <c r="JL28" s="45"/>
      <c r="JM28" s="45"/>
    </row>
    <row r="29" spans="1:273" s="41" customFormat="1" ht="30" customHeight="1" thickBot="1" x14ac:dyDescent="0.35">
      <c r="A29" s="12"/>
      <c r="B29" s="70" t="s">
        <v>41</v>
      </c>
      <c r="C29" s="71"/>
      <c r="D29" s="72"/>
      <c r="E29" s="72"/>
      <c r="F29" s="15"/>
      <c r="G29" s="4" t="str">
        <f t="shared" si="159"/>
        <v/>
      </c>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c r="CH29" s="45"/>
      <c r="CI29" s="45"/>
      <c r="CJ29" s="45"/>
      <c r="CK29" s="45"/>
      <c r="CL29" s="45"/>
      <c r="CM29" s="45"/>
      <c r="CN29" s="45"/>
      <c r="CO29" s="45"/>
      <c r="CP29" s="45"/>
      <c r="CQ29" s="45"/>
      <c r="CR29" s="45"/>
      <c r="CS29" s="45"/>
      <c r="CT29" s="45"/>
      <c r="CU29" s="45"/>
      <c r="CV29" s="45"/>
      <c r="CW29" s="45"/>
      <c r="CX29" s="45"/>
      <c r="CY29" s="45"/>
      <c r="CZ29" s="45"/>
      <c r="DA29" s="45"/>
      <c r="DB29" s="45"/>
      <c r="DC29" s="45"/>
      <c r="DD29" s="45"/>
      <c r="DE29" s="45"/>
      <c r="DF29" s="45"/>
      <c r="DG29" s="45"/>
      <c r="DH29" s="45"/>
      <c r="DI29" s="45"/>
      <c r="DJ29" s="45"/>
      <c r="DK29" s="45"/>
      <c r="DL29" s="45"/>
      <c r="DM29" s="45"/>
      <c r="DN29" s="45"/>
      <c r="DO29" s="45"/>
      <c r="DP29" s="45"/>
      <c r="DQ29" s="45"/>
      <c r="DR29" s="45"/>
      <c r="DS29" s="45"/>
      <c r="DT29" s="45"/>
      <c r="DU29" s="45"/>
      <c r="DV29" s="45"/>
      <c r="DW29" s="45"/>
      <c r="DX29" s="45"/>
      <c r="DY29" s="45"/>
      <c r="DZ29" s="45"/>
      <c r="EA29" s="45"/>
      <c r="EB29" s="45"/>
      <c r="EC29" s="45"/>
      <c r="ED29" s="45"/>
      <c r="EE29" s="45"/>
      <c r="EF29" s="45"/>
      <c r="EG29" s="45"/>
      <c r="EH29" s="45"/>
      <c r="EI29" s="45"/>
      <c r="EJ29" s="45"/>
      <c r="EK29" s="45"/>
      <c r="EL29" s="45"/>
      <c r="EM29" s="45"/>
      <c r="EN29" s="45"/>
      <c r="EO29" s="45"/>
      <c r="EP29" s="45"/>
      <c r="EQ29" s="45"/>
      <c r="ER29" s="45"/>
      <c r="ES29" s="45"/>
      <c r="ET29" s="45"/>
      <c r="EU29" s="45"/>
      <c r="EV29" s="45"/>
      <c r="EW29" s="45"/>
      <c r="EX29" s="45"/>
      <c r="EY29" s="45"/>
      <c r="EZ29" s="45"/>
      <c r="FA29" s="45"/>
      <c r="FB29" s="45"/>
      <c r="FC29" s="45"/>
      <c r="FD29" s="45"/>
      <c r="FE29" s="45"/>
      <c r="FF29" s="45"/>
      <c r="FG29" s="45"/>
      <c r="FH29" s="45"/>
      <c r="FI29" s="45"/>
      <c r="FJ29" s="45"/>
      <c r="FK29" s="45"/>
      <c r="FL29" s="45"/>
      <c r="FM29" s="45"/>
      <c r="FN29" s="45"/>
      <c r="FO29" s="45"/>
      <c r="FP29" s="45"/>
      <c r="FQ29" s="45"/>
      <c r="FR29" s="45"/>
      <c r="FS29" s="45"/>
      <c r="FT29" s="45"/>
      <c r="FU29" s="45"/>
      <c r="FV29" s="45"/>
      <c r="FW29" s="45"/>
      <c r="FX29" s="45"/>
      <c r="FY29" s="45"/>
      <c r="FZ29" s="45"/>
      <c r="GA29" s="45"/>
      <c r="GB29" s="45"/>
      <c r="GC29" s="45"/>
      <c r="GD29" s="45"/>
      <c r="GE29" s="45"/>
      <c r="GF29" s="45"/>
      <c r="GG29" s="45"/>
      <c r="GH29" s="45"/>
      <c r="GI29" s="45"/>
      <c r="GJ29" s="45"/>
      <c r="GK29" s="45"/>
      <c r="GL29" s="45"/>
      <c r="GM29" s="45"/>
      <c r="GN29" s="45"/>
      <c r="GO29" s="45"/>
      <c r="GP29" s="45"/>
      <c r="GQ29" s="45"/>
      <c r="GR29" s="45"/>
      <c r="GS29" s="45"/>
      <c r="GT29" s="45"/>
      <c r="GU29" s="45"/>
      <c r="GV29" s="45"/>
      <c r="GW29" s="45"/>
      <c r="GX29" s="45"/>
      <c r="GY29" s="45"/>
      <c r="GZ29" s="45"/>
      <c r="HA29" s="45"/>
      <c r="HB29" s="45"/>
      <c r="HC29" s="45"/>
      <c r="HD29" s="45"/>
      <c r="HE29" s="45"/>
      <c r="HF29" s="45"/>
      <c r="HG29" s="45"/>
      <c r="HH29" s="45"/>
      <c r="HI29" s="45"/>
      <c r="HJ29" s="45"/>
      <c r="HK29" s="45"/>
      <c r="HL29" s="45"/>
      <c r="HM29" s="45"/>
      <c r="HN29" s="45"/>
      <c r="HO29" s="45"/>
      <c r="HP29" s="45"/>
      <c r="HQ29" s="45"/>
      <c r="HR29" s="45"/>
      <c r="HS29" s="45"/>
      <c r="HT29" s="45"/>
      <c r="HU29" s="45"/>
      <c r="HV29" s="45"/>
      <c r="HW29" s="45"/>
      <c r="HX29" s="45"/>
      <c r="HY29" s="45"/>
      <c r="HZ29" s="45"/>
      <c r="IA29" s="45"/>
      <c r="IB29" s="45"/>
      <c r="IC29" s="45"/>
      <c r="ID29" s="45"/>
      <c r="IE29" s="45"/>
      <c r="IF29" s="45"/>
      <c r="IG29" s="45"/>
      <c r="IH29" s="45"/>
      <c r="II29" s="45"/>
      <c r="IJ29" s="45"/>
      <c r="IK29" s="45"/>
      <c r="IL29" s="45"/>
      <c r="IM29" s="45"/>
      <c r="IN29" s="45"/>
      <c r="IO29" s="45"/>
      <c r="IP29" s="45"/>
      <c r="IQ29" s="45"/>
      <c r="IR29" s="45"/>
      <c r="IS29" s="45"/>
      <c r="IT29" s="45"/>
      <c r="IU29" s="45"/>
      <c r="IV29" s="45"/>
      <c r="IW29" s="45"/>
      <c r="IX29" s="45"/>
      <c r="IY29" s="45"/>
      <c r="IZ29" s="45"/>
      <c r="JA29" s="45"/>
      <c r="JB29" s="45"/>
      <c r="JC29" s="45"/>
      <c r="JD29" s="45"/>
      <c r="JE29" s="45"/>
      <c r="JF29" s="45"/>
      <c r="JG29" s="45"/>
      <c r="JH29" s="45"/>
      <c r="JI29" s="45"/>
      <c r="JJ29" s="45"/>
      <c r="JK29" s="45"/>
      <c r="JL29" s="45"/>
      <c r="JM29" s="45"/>
    </row>
    <row r="30" spans="1:273" s="41" customFormat="1" ht="30" customHeight="1" thickBot="1" x14ac:dyDescent="0.35">
      <c r="A30" s="12"/>
      <c r="B30" s="70" t="s">
        <v>37</v>
      </c>
      <c r="C30" s="71"/>
      <c r="D30" s="72"/>
      <c r="E30" s="72"/>
      <c r="F30" s="15"/>
      <c r="G30" s="4" t="str">
        <f t="shared" si="159"/>
        <v/>
      </c>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c r="CL30" s="45"/>
      <c r="CM30" s="45"/>
      <c r="CN30" s="45"/>
      <c r="CO30" s="45"/>
      <c r="CP30" s="45"/>
      <c r="CQ30" s="45"/>
      <c r="CR30" s="45"/>
      <c r="CS30" s="45"/>
      <c r="CT30" s="45"/>
      <c r="CU30" s="45"/>
      <c r="CV30" s="45"/>
      <c r="CW30" s="45"/>
      <c r="CX30" s="45"/>
      <c r="CY30" s="45"/>
      <c r="CZ30" s="45"/>
      <c r="DA30" s="45"/>
      <c r="DB30" s="45"/>
      <c r="DC30" s="45"/>
      <c r="DD30" s="45"/>
      <c r="DE30" s="45"/>
      <c r="DF30" s="45"/>
      <c r="DG30" s="45"/>
      <c r="DH30" s="45"/>
      <c r="DI30" s="45"/>
      <c r="DJ30" s="45"/>
      <c r="DK30" s="45"/>
      <c r="DL30" s="45"/>
      <c r="DM30" s="45"/>
      <c r="DN30" s="45"/>
      <c r="DO30" s="45"/>
      <c r="DP30" s="45"/>
      <c r="DQ30" s="45"/>
      <c r="DR30" s="45"/>
      <c r="DS30" s="45"/>
      <c r="DT30" s="45"/>
      <c r="DU30" s="45"/>
      <c r="DV30" s="45"/>
      <c r="DW30" s="45"/>
      <c r="DX30" s="45"/>
      <c r="DY30" s="45"/>
      <c r="DZ30" s="45"/>
      <c r="EA30" s="45"/>
      <c r="EB30" s="45"/>
      <c r="EC30" s="45"/>
      <c r="ED30" s="45"/>
      <c r="EE30" s="45"/>
      <c r="EF30" s="45"/>
      <c r="EG30" s="45"/>
      <c r="EH30" s="45"/>
      <c r="EI30" s="45"/>
      <c r="EJ30" s="45"/>
      <c r="EK30" s="45"/>
      <c r="EL30" s="45"/>
      <c r="EM30" s="45"/>
      <c r="EN30" s="45"/>
      <c r="EO30" s="45"/>
      <c r="EP30" s="45"/>
      <c r="EQ30" s="45"/>
      <c r="ER30" s="45"/>
      <c r="ES30" s="45"/>
      <c r="ET30" s="45"/>
      <c r="EU30" s="45"/>
      <c r="EV30" s="45"/>
      <c r="EW30" s="45"/>
      <c r="EX30" s="45"/>
      <c r="EY30" s="45"/>
      <c r="EZ30" s="45"/>
      <c r="FA30" s="45"/>
      <c r="FB30" s="45"/>
      <c r="FC30" s="45"/>
      <c r="FD30" s="45"/>
      <c r="FE30" s="45"/>
      <c r="FF30" s="45"/>
      <c r="FG30" s="45"/>
      <c r="FH30" s="45"/>
      <c r="FI30" s="45"/>
      <c r="FJ30" s="45"/>
      <c r="FK30" s="45"/>
      <c r="FL30" s="45"/>
      <c r="FM30" s="45"/>
      <c r="FN30" s="45"/>
      <c r="FO30" s="45"/>
      <c r="FP30" s="45"/>
      <c r="FQ30" s="45"/>
      <c r="FR30" s="45"/>
      <c r="FS30" s="45"/>
      <c r="FT30" s="45"/>
      <c r="FU30" s="45"/>
      <c r="FV30" s="45"/>
      <c r="FW30" s="45"/>
      <c r="FX30" s="45"/>
      <c r="FY30" s="45"/>
      <c r="FZ30" s="45"/>
      <c r="GA30" s="45"/>
      <c r="GB30" s="45"/>
      <c r="GC30" s="45"/>
      <c r="GD30" s="45"/>
      <c r="GE30" s="45"/>
      <c r="GF30" s="45"/>
      <c r="GG30" s="45"/>
      <c r="GH30" s="45"/>
      <c r="GI30" s="45"/>
      <c r="GJ30" s="45"/>
      <c r="GK30" s="45"/>
      <c r="GL30" s="45"/>
      <c r="GM30" s="45"/>
      <c r="GN30" s="45"/>
      <c r="GO30" s="45"/>
      <c r="GP30" s="45"/>
      <c r="GQ30" s="45"/>
      <c r="GR30" s="45"/>
      <c r="GS30" s="45"/>
      <c r="GT30" s="45"/>
      <c r="GU30" s="45"/>
      <c r="GV30" s="45"/>
      <c r="GW30" s="45"/>
      <c r="GX30" s="45"/>
      <c r="GY30" s="45"/>
      <c r="GZ30" s="45"/>
      <c r="HA30" s="45"/>
      <c r="HB30" s="45"/>
      <c r="HC30" s="45"/>
      <c r="HD30" s="45"/>
      <c r="HE30" s="45"/>
      <c r="HF30" s="45"/>
      <c r="HG30" s="45"/>
      <c r="HH30" s="45"/>
      <c r="HI30" s="45"/>
      <c r="HJ30" s="45"/>
      <c r="HK30" s="45"/>
      <c r="HL30" s="45"/>
      <c r="HM30" s="45"/>
      <c r="HN30" s="45"/>
      <c r="HO30" s="45"/>
      <c r="HP30" s="45"/>
      <c r="HQ30" s="45"/>
      <c r="HR30" s="45"/>
      <c r="HS30" s="45"/>
      <c r="HT30" s="45"/>
      <c r="HU30" s="45"/>
      <c r="HV30" s="45"/>
      <c r="HW30" s="45"/>
      <c r="HX30" s="45"/>
      <c r="HY30" s="45"/>
      <c r="HZ30" s="45"/>
      <c r="IA30" s="45"/>
      <c r="IB30" s="45"/>
      <c r="IC30" s="45"/>
      <c r="ID30" s="45"/>
      <c r="IE30" s="45"/>
      <c r="IF30" s="45"/>
      <c r="IG30" s="45"/>
      <c r="IH30" s="45"/>
      <c r="II30" s="45"/>
      <c r="IJ30" s="45"/>
      <c r="IK30" s="45"/>
      <c r="IL30" s="45"/>
      <c r="IM30" s="45"/>
      <c r="IN30" s="45"/>
      <c r="IO30" s="45"/>
      <c r="IP30" s="45"/>
      <c r="IQ30" s="45"/>
      <c r="IR30" s="45"/>
      <c r="IS30" s="45"/>
      <c r="IT30" s="45"/>
      <c r="IU30" s="45"/>
      <c r="IV30" s="45"/>
      <c r="IW30" s="45"/>
      <c r="IX30" s="45"/>
      <c r="IY30" s="45"/>
      <c r="IZ30" s="45"/>
      <c r="JA30" s="45"/>
      <c r="JB30" s="45"/>
      <c r="JC30" s="45"/>
      <c r="JD30" s="45"/>
      <c r="JE30" s="45"/>
      <c r="JF30" s="45"/>
      <c r="JG30" s="45"/>
      <c r="JH30" s="45"/>
      <c r="JI30" s="45"/>
      <c r="JJ30" s="45"/>
      <c r="JK30" s="45"/>
      <c r="JL30" s="45"/>
      <c r="JM30" s="45"/>
    </row>
    <row r="31" spans="1:273" s="41" customFormat="1" ht="30" customHeight="1" thickBot="1" x14ac:dyDescent="0.35">
      <c r="A31" s="12"/>
      <c r="B31" s="70"/>
      <c r="C31" s="71"/>
      <c r="D31" s="72"/>
      <c r="E31" s="72"/>
      <c r="F31" s="15"/>
      <c r="G31" s="4" t="str">
        <f t="shared" si="159"/>
        <v/>
      </c>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5"/>
      <c r="CM31" s="45"/>
      <c r="CN31" s="45"/>
      <c r="CO31" s="45"/>
      <c r="CP31" s="45"/>
      <c r="CQ31" s="45"/>
      <c r="CR31" s="45"/>
      <c r="CS31" s="45"/>
      <c r="CT31" s="45"/>
      <c r="CU31" s="45"/>
      <c r="CV31" s="45"/>
      <c r="CW31" s="45"/>
      <c r="CX31" s="45"/>
      <c r="CY31" s="45"/>
      <c r="CZ31" s="45"/>
      <c r="DA31" s="45"/>
      <c r="DB31" s="45"/>
      <c r="DC31" s="45"/>
      <c r="DD31" s="45"/>
      <c r="DE31" s="45"/>
      <c r="DF31" s="45"/>
      <c r="DG31" s="45"/>
      <c r="DH31" s="45"/>
      <c r="DI31" s="45"/>
      <c r="DJ31" s="45"/>
      <c r="DK31" s="45"/>
      <c r="DL31" s="45"/>
      <c r="DM31" s="45"/>
      <c r="DN31" s="45"/>
      <c r="DO31" s="45"/>
      <c r="DP31" s="45"/>
      <c r="DQ31" s="45"/>
      <c r="DR31" s="45"/>
      <c r="DS31" s="45"/>
      <c r="DT31" s="45"/>
      <c r="DU31" s="45"/>
      <c r="DV31" s="45"/>
      <c r="DW31" s="45"/>
      <c r="DX31" s="45"/>
      <c r="DY31" s="45"/>
      <c r="DZ31" s="45"/>
      <c r="EA31" s="45"/>
      <c r="EB31" s="45"/>
      <c r="EC31" s="45"/>
      <c r="ED31" s="45"/>
      <c r="EE31" s="45"/>
      <c r="EF31" s="45"/>
      <c r="EG31" s="45"/>
      <c r="EH31" s="45"/>
      <c r="EI31" s="45"/>
      <c r="EJ31" s="45"/>
      <c r="EK31" s="45"/>
      <c r="EL31" s="45"/>
      <c r="EM31" s="45"/>
      <c r="EN31" s="45"/>
      <c r="EO31" s="45"/>
      <c r="EP31" s="45"/>
      <c r="EQ31" s="45"/>
      <c r="ER31" s="45"/>
      <c r="ES31" s="45"/>
      <c r="ET31" s="45"/>
      <c r="EU31" s="45"/>
      <c r="EV31" s="45"/>
      <c r="EW31" s="45"/>
      <c r="EX31" s="45"/>
      <c r="EY31" s="45"/>
      <c r="EZ31" s="45"/>
      <c r="FA31" s="45"/>
      <c r="FB31" s="45"/>
      <c r="FC31" s="45"/>
      <c r="FD31" s="45"/>
      <c r="FE31" s="45"/>
      <c r="FF31" s="45"/>
      <c r="FG31" s="45"/>
      <c r="FH31" s="45"/>
      <c r="FI31" s="45"/>
      <c r="FJ31" s="45"/>
      <c r="FK31" s="45"/>
      <c r="FL31" s="45"/>
      <c r="FM31" s="45"/>
      <c r="FN31" s="45"/>
      <c r="FO31" s="45"/>
      <c r="FP31" s="45"/>
      <c r="FQ31" s="45"/>
      <c r="FR31" s="45"/>
      <c r="FS31" s="45"/>
      <c r="FT31" s="45"/>
      <c r="FU31" s="45"/>
      <c r="FV31" s="45"/>
      <c r="FW31" s="45"/>
      <c r="FX31" s="45"/>
      <c r="FY31" s="45"/>
      <c r="FZ31" s="45"/>
      <c r="GA31" s="45"/>
      <c r="GB31" s="45"/>
      <c r="GC31" s="45"/>
      <c r="GD31" s="45"/>
      <c r="GE31" s="45"/>
      <c r="GF31" s="45"/>
      <c r="GG31" s="45"/>
      <c r="GH31" s="45"/>
      <c r="GI31" s="45"/>
      <c r="GJ31" s="45"/>
      <c r="GK31" s="45"/>
      <c r="GL31" s="45"/>
      <c r="GM31" s="45"/>
      <c r="GN31" s="45"/>
      <c r="GO31" s="45"/>
      <c r="GP31" s="45"/>
      <c r="GQ31" s="45"/>
      <c r="GR31" s="45"/>
      <c r="GS31" s="45"/>
      <c r="GT31" s="45"/>
      <c r="GU31" s="45"/>
      <c r="GV31" s="45"/>
      <c r="GW31" s="45"/>
      <c r="GX31" s="45"/>
      <c r="GY31" s="45"/>
      <c r="GZ31" s="45"/>
      <c r="HA31" s="45"/>
      <c r="HB31" s="45"/>
      <c r="HC31" s="45"/>
      <c r="HD31" s="45"/>
      <c r="HE31" s="45"/>
      <c r="HF31" s="45"/>
      <c r="HG31" s="45"/>
      <c r="HH31" s="45"/>
      <c r="HI31" s="45"/>
      <c r="HJ31" s="45"/>
      <c r="HK31" s="45"/>
      <c r="HL31" s="45"/>
      <c r="HM31" s="45"/>
      <c r="HN31" s="45"/>
      <c r="HO31" s="45"/>
      <c r="HP31" s="45"/>
      <c r="HQ31" s="45"/>
      <c r="HR31" s="45"/>
      <c r="HS31" s="45"/>
      <c r="HT31" s="45"/>
      <c r="HU31" s="45"/>
      <c r="HV31" s="45"/>
      <c r="HW31" s="45"/>
      <c r="HX31" s="45"/>
      <c r="HY31" s="45"/>
      <c r="HZ31" s="45"/>
      <c r="IA31" s="45"/>
      <c r="IB31" s="45"/>
      <c r="IC31" s="45"/>
      <c r="ID31" s="45"/>
      <c r="IE31" s="45"/>
      <c r="IF31" s="45"/>
      <c r="IG31" s="45"/>
      <c r="IH31" s="45"/>
      <c r="II31" s="45"/>
      <c r="IJ31" s="45"/>
      <c r="IK31" s="45"/>
      <c r="IL31" s="45"/>
      <c r="IM31" s="45"/>
      <c r="IN31" s="45"/>
      <c r="IO31" s="45"/>
      <c r="IP31" s="45"/>
      <c r="IQ31" s="45"/>
      <c r="IR31" s="45"/>
      <c r="IS31" s="45"/>
      <c r="IT31" s="45"/>
      <c r="IU31" s="45"/>
      <c r="IV31" s="45"/>
      <c r="IW31" s="45"/>
      <c r="IX31" s="45"/>
      <c r="IY31" s="45"/>
      <c r="IZ31" s="45"/>
      <c r="JA31" s="45"/>
      <c r="JB31" s="45"/>
      <c r="JC31" s="45"/>
      <c r="JD31" s="45"/>
      <c r="JE31" s="45"/>
      <c r="JF31" s="45"/>
      <c r="JG31" s="45"/>
      <c r="JH31" s="45"/>
      <c r="JI31" s="45"/>
      <c r="JJ31" s="45"/>
      <c r="JK31" s="45"/>
      <c r="JL31" s="45"/>
      <c r="JM31" s="45"/>
    </row>
    <row r="32" spans="1:273" s="41" customFormat="1" ht="30" customHeight="1" thickBot="1" x14ac:dyDescent="0.35">
      <c r="A32" s="12"/>
      <c r="B32" s="73"/>
      <c r="C32" s="74"/>
      <c r="D32" s="75"/>
      <c r="E32" s="75"/>
      <c r="F32" s="15"/>
      <c r="G32" s="4" t="str">
        <f t="shared" si="159"/>
        <v/>
      </c>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row>
    <row r="33" spans="1:63" s="41" customFormat="1" ht="30" customHeight="1" thickBot="1" x14ac:dyDescent="0.35">
      <c r="A33" s="13"/>
      <c r="B33" s="76" t="s">
        <v>8</v>
      </c>
      <c r="C33" s="77"/>
      <c r="D33" s="78"/>
      <c r="E33" s="79"/>
      <c r="F33" s="15"/>
      <c r="G33" s="5" t="str">
        <f t="shared" si="159"/>
        <v/>
      </c>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0"/>
      <c r="BK33" s="80"/>
    </row>
    <row r="34" spans="1:63" ht="30" customHeight="1" x14ac:dyDescent="0.3">
      <c r="F34" s="3"/>
    </row>
    <row r="35" spans="1:63" ht="30" customHeight="1" x14ac:dyDescent="0.3">
      <c r="E35" s="14"/>
    </row>
  </sheetData>
  <mergeCells count="47">
    <mergeCell ref="JG4:JM4"/>
    <mergeCell ref="HX4:ID4"/>
    <mergeCell ref="IE4:IK4"/>
    <mergeCell ref="IL4:IR4"/>
    <mergeCell ref="IS4:IY4"/>
    <mergeCell ref="IZ4:JF4"/>
    <mergeCell ref="GO4:GU4"/>
    <mergeCell ref="GV4:HB4"/>
    <mergeCell ref="HC4:HI4"/>
    <mergeCell ref="HJ4:HP4"/>
    <mergeCell ref="HQ4:HW4"/>
    <mergeCell ref="FF4:FL4"/>
    <mergeCell ref="FM4:FS4"/>
    <mergeCell ref="FT4:FZ4"/>
    <mergeCell ref="GA4:GG4"/>
    <mergeCell ref="GH4:GN4"/>
    <mergeCell ref="DW4:EC4"/>
    <mergeCell ref="ED4:EJ4"/>
    <mergeCell ref="EK4:EQ4"/>
    <mergeCell ref="ER4:EX4"/>
    <mergeCell ref="EY4:FE4"/>
    <mergeCell ref="CN4:CT4"/>
    <mergeCell ref="CU4:DA4"/>
    <mergeCell ref="DB4:DH4"/>
    <mergeCell ref="DI4:DO4"/>
    <mergeCell ref="DP4:DV4"/>
    <mergeCell ref="BL4:BR4"/>
    <mergeCell ref="BS4:BY4"/>
    <mergeCell ref="BZ4:CF4"/>
    <mergeCell ref="CG4:CM4"/>
    <mergeCell ref="A5:A6"/>
    <mergeCell ref="B5:B6"/>
    <mergeCell ref="C5:C6"/>
    <mergeCell ref="D5:D6"/>
    <mergeCell ref="E5:E6"/>
    <mergeCell ref="P2:Y2"/>
    <mergeCell ref="P1:Y1"/>
    <mergeCell ref="H1:N1"/>
    <mergeCell ref="H2:N2"/>
    <mergeCell ref="BE4:BK4"/>
    <mergeCell ref="H4:N4"/>
    <mergeCell ref="O4:U4"/>
    <mergeCell ref="V4:AB4"/>
    <mergeCell ref="AC4:AI4"/>
    <mergeCell ref="AJ4:AP4"/>
    <mergeCell ref="AQ4:AW4"/>
    <mergeCell ref="AX4:BD4"/>
  </mergeCells>
  <conditionalFormatting sqref="C14:C33 C7:C12">
    <cfRule type="dataBar" priority="29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JM31">
    <cfRule type="expression" dxfId="8" priority="1">
      <formula>AND(TODAY()&gt;=H$5, TODAY()&lt;I$5)</formula>
    </cfRule>
  </conditionalFormatting>
  <conditionalFormatting sqref="H9:JM13">
    <cfRule type="expression" dxfId="7" priority="6">
      <formula>AND(task_start&lt;=H$5,ROUNDDOWN((task_end-task_start+1)*task_progress,0)+task_start-1&gt;=H$5)</formula>
    </cfRule>
    <cfRule type="expression" dxfId="6" priority="7" stopIfTrue="1">
      <formula>AND(task_end&gt;=H$5,task_start&lt;I$5)</formula>
    </cfRule>
  </conditionalFormatting>
  <conditionalFormatting sqref="H15:JM19">
    <cfRule type="expression" dxfId="5" priority="4">
      <formula>AND(task_start&lt;=H$5,ROUNDDOWN((task_end-task_start+1)*task_progress,0)+task_start-1&gt;=H$5)</formula>
    </cfRule>
    <cfRule type="expression" dxfId="4" priority="5" stopIfTrue="1">
      <formula>AND(task_end&gt;=H$5,task_start&lt;I$5)</formula>
    </cfRule>
  </conditionalFormatting>
  <conditionalFormatting sqref="H21:JM25">
    <cfRule type="expression" dxfId="3" priority="2">
      <formula>AND(task_start&lt;=H$5,ROUNDDOWN((task_end-task_start+1)*task_progress,0)+task_start-1&gt;=H$5)</formula>
    </cfRule>
    <cfRule type="expression" dxfId="2" priority="3" stopIfTrue="1">
      <formula>AND(task_end&gt;=H$5,task_start&lt;I$5)</formula>
    </cfRule>
  </conditionalFormatting>
  <conditionalFormatting sqref="H27:JM31">
    <cfRule type="expression" dxfId="1" priority="8">
      <formula>AND(task_start&lt;=H$5,ROUNDDOWN((task_end-task_start+1)*task_progress,0)+task_start-1&gt;=H$5)</formula>
    </cfRule>
    <cfRule type="expression" dxfId="0" priority="9" stopIfTrue="1">
      <formula>AND(task_end&gt;=H$5,task_start&lt;I$5)</formula>
    </cfRule>
  </conditionalFormatting>
  <dataValidations disablePrompts="1" count="13">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C14:C33 C7:C12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6" customWidth="1"/>
    <col min="2" max="16384" width="9" style="1"/>
  </cols>
  <sheetData>
    <row r="1" spans="1:2" ht="46.5" customHeight="1" x14ac:dyDescent="0.25"/>
    <row r="2" spans="1:2" s="8" customFormat="1" ht="15.5" x14ac:dyDescent="0.3">
      <c r="A2" s="83" t="s">
        <v>2</v>
      </c>
      <c r="B2" s="7"/>
    </row>
    <row r="3" spans="1:2" s="10" customFormat="1" ht="27" customHeight="1" x14ac:dyDescent="0.3">
      <c r="A3" s="84"/>
      <c r="B3" s="11"/>
    </row>
    <row r="4" spans="1:2" s="9" customFormat="1" ht="30.5" x14ac:dyDescent="0.85">
      <c r="A4" s="85" t="s">
        <v>9</v>
      </c>
    </row>
    <row r="5" spans="1:2" ht="74.25" customHeight="1" x14ac:dyDescent="0.25">
      <c r="A5" s="86" t="s">
        <v>10</v>
      </c>
    </row>
    <row r="6" spans="1:2" ht="26.25" customHeight="1" x14ac:dyDescent="0.25">
      <c r="A6" s="85" t="s">
        <v>11</v>
      </c>
    </row>
    <row r="7" spans="1:2" s="6" customFormat="1" ht="205.15" customHeight="1" x14ac:dyDescent="0.3">
      <c r="A7" s="87" t="s">
        <v>12</v>
      </c>
    </row>
    <row r="8" spans="1:2" s="9" customFormat="1" ht="30.5" x14ac:dyDescent="0.85">
      <c r="A8" s="85" t="s">
        <v>13</v>
      </c>
    </row>
    <row r="9" spans="1:2" ht="42" x14ac:dyDescent="0.25">
      <c r="A9" s="86" t="s">
        <v>14</v>
      </c>
    </row>
    <row r="10" spans="1:2" s="6" customFormat="1" ht="28.15" customHeight="1" x14ac:dyDescent="0.3">
      <c r="A10" s="88" t="s">
        <v>15</v>
      </c>
    </row>
    <row r="11" spans="1:2" s="9" customFormat="1" ht="30.5" x14ac:dyDescent="0.85">
      <c r="A11" s="85" t="s">
        <v>16</v>
      </c>
    </row>
    <row r="12" spans="1:2" ht="28" x14ac:dyDescent="0.25">
      <c r="A12" s="86" t="s">
        <v>17</v>
      </c>
    </row>
    <row r="13" spans="1:2" s="6" customFormat="1" ht="28.15" customHeight="1" x14ac:dyDescent="0.3">
      <c r="A13" s="88" t="s">
        <v>18</v>
      </c>
    </row>
    <row r="14" spans="1:2" s="9" customFormat="1" ht="30.5" x14ac:dyDescent="0.85">
      <c r="A14" s="85" t="s">
        <v>19</v>
      </c>
    </row>
    <row r="15" spans="1:2" ht="75" customHeight="1" x14ac:dyDescent="0.25">
      <c r="A15" s="86" t="s">
        <v>20</v>
      </c>
    </row>
    <row r="16" spans="1:2" ht="70" x14ac:dyDescent="0.25">
      <c r="A16" s="86" t="s">
        <v>21</v>
      </c>
    </row>
    <row r="17" spans="1:1" x14ac:dyDescent="0.25">
      <c r="A17" s="89"/>
    </row>
    <row r="18" spans="1:1" x14ac:dyDescent="0.25">
      <c r="A18" s="89"/>
    </row>
    <row r="19" spans="1:1" x14ac:dyDescent="0.25">
      <c r="A19" s="89"/>
    </row>
    <row r="20" spans="1:1" x14ac:dyDescent="0.25">
      <c r="A20" s="89"/>
    </row>
    <row r="21" spans="1:1" x14ac:dyDescent="0.25">
      <c r="A21" s="89"/>
    </row>
    <row r="22" spans="1:1" x14ac:dyDescent="0.25">
      <c r="A22" s="89"/>
    </row>
    <row r="23" spans="1:1" x14ac:dyDescent="0.25">
      <c r="A23" s="89"/>
    </row>
    <row r="24" spans="1:1" x14ac:dyDescent="0.25">
      <c r="A24" s="8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Project schedule (Weekly)</vt:lpstr>
      <vt:lpstr>Project schedule</vt:lpstr>
      <vt:lpstr>About</vt:lpstr>
      <vt:lpstr>'Project schedule (Weekly)'!Display_Week</vt:lpstr>
      <vt:lpstr>Display_Week</vt:lpstr>
      <vt:lpstr>'Project schedule'!Print_Titles</vt:lpstr>
      <vt:lpstr>'Project schedule (Weekly)'!Print_Titles</vt:lpstr>
      <vt:lpstr>'Project schedule (Weekly)'!Project_Start</vt:lpstr>
      <vt:lpstr>Project_Start</vt:lpstr>
      <vt:lpstr>'Project schedule'!task_end</vt:lpstr>
      <vt:lpstr>'Project schedule (Weekly)'!task_end</vt:lpstr>
      <vt:lpstr>'Project schedule'!task_progress</vt:lpstr>
      <vt:lpstr>'Project schedule'!task_start</vt:lpstr>
      <vt:lpstr>'Project schedule (Weekly)'!task_start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Jessica Zeng</cp:lastModifiedBy>
  <cp:revision/>
  <dcterms:created xsi:type="dcterms:W3CDTF">2022-03-11T22:41:12Z</dcterms:created>
  <dcterms:modified xsi:type="dcterms:W3CDTF">2026-03-28T03:16:11Z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